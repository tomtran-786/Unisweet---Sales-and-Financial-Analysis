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tran-thanh_an_unilever_com/Documents/08. Employer Branding/2026 EB Partnership/External partner/SEO-V/Case Study/SEO-V FBP Dataset/Market Data/"/>
    </mc:Choice>
  </mc:AlternateContent>
  <xr:revisionPtr revIDLastSave="22" documentId="8_{0DC124D3-6143-4AA2-A24E-132BF31FD85E}" xr6:coauthVersionLast="47" xr6:coauthVersionMax="47" xr10:uidLastSave="{39D52726-49E5-49AB-81D9-F9FABA39165E}"/>
  <bookViews>
    <workbookView xWindow="28680" yWindow="-120" windowWidth="29040" windowHeight="15720" xr2:uid="{C35F64FF-C834-4BF3-AF7E-CA2DA7851E43}"/>
  </bookViews>
  <sheets>
    <sheet name="Market Data" sheetId="1" r:id="rId1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Fill" hidden="1">#REF!</definedName>
    <definedName name="_xlnm._FilterDatabase" localSheetId="0" hidden="1">'Market Data'!$A$4:$Q$31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a" hidden="1">#REF!</definedName>
    <definedName name="abs" hidden="1">{"DTS(ALL)",#N/A,FALSE,"DTS_SC";"DTS(ALL)",#N/A,FALSE,"DTS_F";"DTS(ALL)",#N/A,FALSE,"DTS_H";"DTS(ALL)",#N/A,FALSE,"DTS_S";"DTS(ALL)",#N/A,FALSE,"DTS_O";"DTS(ALL)",#N/A,FALSE,"DTS_HHC"}</definedName>
    <definedName name="abs_1" hidden="1">{"DTS(ALL)",#N/A,FALSE,"DTS_SC";"DTS(ALL)",#N/A,FALSE,"DTS_F";"DTS(ALL)",#N/A,FALSE,"DTS_H";"DTS(ALL)",#N/A,FALSE,"DTS_S";"DTS(ALL)",#N/A,FALSE,"DTS_O";"DTS(ALL)",#N/A,FALSE,"DTS_HHC"}</definedName>
    <definedName name="anscount" hidden="1">2</definedName>
    <definedName name="asdfa" hidden="1">{"DTS(ALL)",#N/A,FALSE,"DTS_SC";"DTS(ALL)",#N/A,FALSE,"DTS_F";"DTS(ALL)",#N/A,FALSE,"DTS_H";"DTS(ALL)",#N/A,FALSE,"DTS_S";"DTS(ALL)",#N/A,FALSE,"DTS_O";"DTS(ALL)",#N/A,FALSE,"DTS_HHC"}</definedName>
    <definedName name="asdfa_1" hidden="1">{"DTS(ALL)",#N/A,FALSE,"DTS_SC";"DTS(ALL)",#N/A,FALSE,"DTS_F";"DTS(ALL)",#N/A,FALSE,"DTS_H";"DTS(ALL)",#N/A,FALSE,"DTS_S";"DTS(ALL)",#N/A,FALSE,"DTS_O";"DTS(ALL)",#N/A,FALSE,"DTS_HHC"}</definedName>
    <definedName name="Chart_Selection">#REF!</definedName>
    <definedName name="de" hidden="1">{"DTS(ALL)",#N/A,FALSE,"DTS_SC";"DTS(ALL)",#N/A,FALSE,"DTS_F";"DTS(ALL)",#N/A,FALSE,"DTS_H";"DTS(ALL)",#N/A,FALSE,"DTS_S";"DTS(ALL)",#N/A,FALSE,"DTS_O";"DTS(ALL)",#N/A,FALSE,"DTS_HHC"}</definedName>
    <definedName name="eatoreuet" hidden="1">#REF!</definedName>
    <definedName name="HTML_CodePage" hidden="1">1252</definedName>
    <definedName name="HTML_Control" hidden="1">{"'hierarchy detail'!$A$1:$J$390"}</definedName>
    <definedName name="HTML_Description" hidden="1">""</definedName>
    <definedName name="HTML_Email" hidden="1">""</definedName>
    <definedName name="HTML_Header" hidden="1">"hierarchy detail"</definedName>
    <definedName name="HTML_LastUpdate" hidden="1">"7/19/00"</definedName>
    <definedName name="HTML_LineAfter" hidden="1">FALSE</definedName>
    <definedName name="HTML_LineBefore" hidden="1">FALSE</definedName>
    <definedName name="HTML_Name" hidden="1">"icecream01"</definedName>
    <definedName name="HTML_OBDlg2" hidden="1">TRUE</definedName>
    <definedName name="HTML_OBDlg4" hidden="1">TRUE</definedName>
    <definedName name="HTML_OS" hidden="1">0</definedName>
    <definedName name="HTML_PathFile" hidden="1">"E:\data\Eureka Test.htm"</definedName>
    <definedName name="HTML_Title" hidden="1">"Household hierarchy"</definedName>
    <definedName name="limcount" hidden="1">1</definedName>
    <definedName name="New" hidden="1">{"DTS(ALL)",#N/A,FALSE,"DTS_SC";"DTS(ALL)",#N/A,FALSE,"DTS_F";"DTS(ALL)",#N/A,FALSE,"DTS_H";"DTS(ALL)",#N/A,FALSE,"DTS_S";"DTS(ALL)",#N/A,FALSE,"DTS_O";"DTS(ALL)",#N/A,FALSE,"DTS_HHC"}</definedName>
    <definedName name="PERIO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APBEXhrIndnt" hidden="1">"Wide"</definedName>
    <definedName name="SAPBEXrevision" hidden="1">1</definedName>
    <definedName name="SAPBEXsysID" hidden="1">"BWP"</definedName>
    <definedName name="SAPBEXwbID" hidden="1">"3U5XS9G3LHHKSYRPESORWGYZ5"</definedName>
    <definedName name="SAPsysID" hidden="1">"708C5W7SBKP804JT78WJ0JNKI"</definedName>
    <definedName name="SAPwbID" hidden="1">"ARS"</definedName>
    <definedName name="sencount" hidden="1">1</definedName>
    <definedName name="upfl" hidden="1">{"DTS(ALL)",#N/A,FALSE,"DTS_SC";"DTS(ALL)",#N/A,FALSE,"DTS_F";"DTS(ALL)",#N/A,FALSE,"DTS_H";"DTS(ALL)",#N/A,FALSE,"DTS_S";"DTS(ALL)",#N/A,FALSE,"DTS_O";"DTS(ALL)",#N/A,FALSE,"DTS_HHC"}</definedName>
    <definedName name="Validation">#REF!</definedName>
    <definedName name="wrn.DTS._.PRINT." hidden="1">{"DTS(ALL)",#N/A,FALSE,"DTS_SC";"DTS(ALL)",#N/A,FALSE,"DTS_F";"DTS(ALL)",#N/A,FALSE,"DTS_H";"DTS(ALL)",#N/A,FALSE,"DTS_S";"DTS(ALL)",#N/A,FALSE,"DTS_O";"DTS(ALL)",#N/A,FALSE,"DTS_HHC"}</definedName>
    <definedName name="wrn.DTS._.PRINT._1" hidden="1">{"DTS(ALL)",#N/A,FALSE,"DTS_SC";"DTS(ALL)",#N/A,FALSE,"DTS_F";"DTS(ALL)",#N/A,FALSE,"DTS_H";"DTS(ALL)",#N/A,FALSE,"DTS_S";"DTS(ALL)",#N/A,FALSE,"DTS_O";"DTS(ALL)",#N/A,FALSE,"DTS_HHC"}</definedName>
    <definedName name="wrn.Full." hidden="1">{#N/A,#N/A,FALSE,"JV";#N/A,#N/A,FALSE,"Source"}</definedName>
    <definedName name="wrn.STEERING._.PRINTS." hidden="1">{"VOLUMES",#N/A,FALSE,"Volume";"PRICE PLAN",#N/A,FALSE,"Price_plan";"SUPPORT",#N/A,FALSE,"Support";"MUSHARAF SHEET",#N/A,FALSE,"Musharaf";"NADEEM VM",#N/A,FALSE,"Nadeem-VM";"HPC DTS",#N/A,FALSE,"DTS_HPC";"YEAR LV",#N/A,FALSE,"Feel";"WORKING CAPITAL",#N/A,FALSE,"WC_Steer";"OCF",#N/A,FALSE,"OCF";"RUBICS",#N/A,FALSE,"Rubics";"BRAND SHEETS",#N/A,FALSE,"brands sheet";"FINANCIALS",#N/A,FALSE,"steering formats"}</definedName>
    <definedName name="wrn.STEERING._.PRINTS._1" hidden="1">{"VOLUMES",#N/A,FALSE,"Volume";"PRICE PLAN",#N/A,FALSE,"Price_plan";"SUPPORT",#N/A,FALSE,"Support";"MUSHARAF SHEET",#N/A,FALSE,"Musharaf";"NADEEM VM",#N/A,FALSE,"Nadeem-VM";"HPC DTS",#N/A,FALSE,"DTS_HPC";"YEAR LV",#N/A,FALSE,"Feel";"WORKING CAPITAL",#N/A,FALSE,"WC_Steer";"OCF",#N/A,FALSE,"OCF";"RUBICS",#N/A,FALSE,"Rubics";"BRAND SHEETS",#N/A,FALSE,"brands sheet";"FINANCIALS",#N/A,FALSE,"steering formats"}</definedName>
    <definedName name="yyy" hidden="1">{#N/A,#N/A,FALSE,"JV";#N/A,#N/A,FALSE,"Source"}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<sst xmlns="http://schemas.openxmlformats.org/spreadsheetml/2006/main" count="114" uniqueCount="32">
  <si>
    <t>LILAC</t>
  </si>
  <si>
    <t>COMPETITOR D</t>
  </si>
  <si>
    <t>Economy</t>
  </si>
  <si>
    <t>MT</t>
  </si>
  <si>
    <t>NAVY</t>
  </si>
  <si>
    <t>COMPETITOR C</t>
  </si>
  <si>
    <t>MAX</t>
  </si>
  <si>
    <t>COMPETITOR B</t>
  </si>
  <si>
    <t>Mainstream</t>
  </si>
  <si>
    <t>AMBER</t>
  </si>
  <si>
    <t>COMPETITOR A</t>
  </si>
  <si>
    <t>COBALT</t>
  </si>
  <si>
    <t>Premium</t>
  </si>
  <si>
    <t>SKY</t>
  </si>
  <si>
    <t>OLIVE</t>
  </si>
  <si>
    <t>Category</t>
  </si>
  <si>
    <t>DT</t>
  </si>
  <si>
    <t>Total</t>
  </si>
  <si>
    <t>%</t>
  </si>
  <si>
    <t>(mEUR)</t>
  </si>
  <si>
    <t>Gain/Loss</t>
  </si>
  <si>
    <t>Value Share
MAT</t>
  </si>
  <si>
    <t>Value Share
MAT-1</t>
  </si>
  <si>
    <t xml:space="preserve">Sales Value MAT
</t>
  </si>
  <si>
    <t xml:space="preserve">Sales Value MAT-1 </t>
  </si>
  <si>
    <t>Brand</t>
  </si>
  <si>
    <t>Manufacturer</t>
  </si>
  <si>
    <t>Segment</t>
  </si>
  <si>
    <t>Channel</t>
  </si>
  <si>
    <t>Market Share</t>
  </si>
  <si>
    <t>Market Size</t>
  </si>
  <si>
    <t>UNISWEET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</si>
</sst>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Unilever Shilling"/>
      <family val="2"/>
    </font>
    <font>
      <b/>
      <sz val="11"/>
      <color theme="0"/>
      <name val="Unilever Shilling"/>
      <family val="2"/>
    </font>
    <font>
      <b/>
      <sz val="11"/>
      <color theme="1"/>
      <name val="Unilever Shilling"/>
      <family val="2"/>
    </font>
    <font>
      <b/>
      <sz val="12"/>
      <color rgb="FF004089"/>
      <name val="Unilever Shilling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0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0" fontId="2" fillId="0" borderId="6" xfId="0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/>
    <xf numFmtId="0" fontId="2" fillId="0" borderId="10" xfId="0" applyFont="1" applyBorder="1"/>
    <xf numFmtId="0" fontId="3" fillId="2" borderId="13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5" xfId="1" applyFont="1" applyFill="1" applyBorder="1" applyAlignment="1">
      <alignment horizontal="center" vertical="top" wrapText="1"/>
    </xf>
    <xf numFmtId="0" fontId="3" fillId="2" borderId="16" xfId="1" applyFont="1" applyFill="1" applyBorder="1" applyAlignment="1">
      <alignment horizontal="center" vertical="top" wrapText="1"/>
    </xf>
    <xf numFmtId="0" fontId="3" fillId="2" borderId="0" xfId="1" applyFont="1" applyFill="1" applyAlignment="1">
      <alignment horizontal="center" vertical="top" wrapText="1"/>
    </xf>
    <xf numFmtId="0" fontId="3" fillId="2" borderId="17" xfId="1" applyFont="1" applyFill="1" applyBorder="1" applyAlignment="1">
      <alignment horizontal="center" vertical="top" wrapText="1"/>
    </xf>
    <xf numFmtId="0" fontId="3" fillId="2" borderId="18" xfId="1" applyFont="1" applyFill="1" applyBorder="1" applyAlignment="1">
      <alignment horizontal="center" vertical="top" wrapText="1"/>
    </xf>
    <xf numFmtId="0" fontId="3" fillId="2" borderId="19" xfId="1" applyFont="1" applyFill="1" applyBorder="1" applyAlignment="1">
      <alignment horizontal="center" vertical="top" wrapText="1"/>
    </xf>
    <xf numFmtId="0" fontId="3" fillId="2" borderId="20" xfId="1" applyFont="1" applyFill="1" applyBorder="1" applyAlignment="1">
      <alignment horizontal="center" vertical="top" wrapText="1"/>
    </xf>
    <xf numFmtId="0" fontId="3" fillId="2" borderId="21" xfId="1" applyFont="1" applyFill="1" applyBorder="1" applyAlignment="1">
      <alignment horizontal="center" vertical="top" wrapText="1"/>
    </xf>
    <xf numFmtId="0" fontId="3" fillId="2" borderId="22" xfId="1" applyFont="1" applyFill="1" applyBorder="1" applyAlignment="1">
      <alignment horizontal="center" vertical="top" wrapText="1"/>
    </xf>
    <xf numFmtId="0" fontId="3" fillId="2" borderId="23" xfId="1" applyFont="1" applyFill="1" applyBorder="1" applyAlignment="1">
      <alignment horizontal="center" vertical="top" wrapText="1"/>
    </xf>
    <xf numFmtId="0" fontId="3" fillId="2" borderId="24" xfId="1" applyFont="1" applyFill="1" applyBorder="1" applyAlignment="1">
      <alignment horizontal="center" vertical="top" wrapText="1"/>
    </xf>
    <xf numFmtId="0" fontId="3" fillId="2" borderId="25" xfId="1" applyFont="1" applyFill="1" applyBorder="1" applyAlignment="1">
      <alignment horizontal="center" vertical="top" wrapText="1"/>
    </xf>
    <xf numFmtId="0" fontId="4" fillId="0" borderId="26" xfId="0" applyFont="1" applyBorder="1" applyAlignment="1">
      <alignment horizontal="centerContinuous"/>
    </xf>
    <xf numFmtId="0" fontId="4" fillId="0" borderId="27" xfId="0" applyFont="1" applyBorder="1" applyAlignment="1">
      <alignment horizontal="centerContinuous"/>
    </xf>
    <xf numFmtId="0" fontId="4" fillId="0" borderId="28" xfId="0" applyFont="1" applyBorder="1" applyAlignment="1">
      <alignment horizontal="centerContinuous"/>
    </xf>
    <xf numFmtId="0" fontId="4" fillId="0" borderId="29" xfId="0" applyFont="1" applyBorder="1" applyAlignment="1">
      <alignment horizontal="centerContinuous"/>
    </xf>
    <xf numFmtId="0" fontId="4" fillId="0" borderId="30" xfId="0" applyFont="1" applyBorder="1" applyAlignment="1">
      <alignment horizontal="centerContinuous"/>
    </xf>
    <xf numFmtId="0" fontId="4" fillId="0" borderId="31" xfId="0" applyFont="1" applyBorder="1" applyAlignment="1">
      <alignment horizontal="centerContinuous"/>
    </xf>
    <xf numFmtId="0" fontId="4" fillId="0" borderId="0" xfId="0" applyFont="1"/>
    <xf numFmtId="0" fontId="5" fillId="0" borderId="0" xfId="0" applyFont="1"/>
  </cellXfs>
  <cellStyles count="3">
    <cellStyle name="Normal" xfId="0" builtinId="0"/>
    <cellStyle name="Normal 14" xfId="2" xr:uid="{251B18BB-3C04-4E8B-A94E-9B9177662CB7}"/>
    <cellStyle name="Normal 9" xfId="1" xr:uid="{57F90B0F-B131-4A85-A6A9-BD790CF1A8F9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7442-C847-4BC8-ADE2-F3DDB640AE4A}">
  <sheetPr>
    <tabColor rgb="FF0070C0"/>
  </sheetPr>
  <dimension ref="B1:P31"/>
  <sheetViews>
    <sheetView showGridLines="0" tabSelected="1" zoomScale="80" workbookViewId="0">
      <selection activeCell="Q20" sqref="Q20"/>
    </sheetView>
  </sheetViews>
  <sheetFormatPr defaultColWidth="8.81640625" defaultRowHeight="17" x14ac:dyDescent="0.45"/>
  <cols>
    <col min="1" max="1" width="8.81640625" style="1"/>
    <col min="2" max="3" width="16.36328125" style="1" customWidth="1"/>
    <col min="4" max="4" width="18" style="1" customWidth="1"/>
    <col min="5" max="5" width="16.36328125" style="1" customWidth="1"/>
    <col min="6" max="6" width="14.26953125" style="1" customWidth="1"/>
    <col min="7" max="7" width="14.6328125" style="1" customWidth="1"/>
    <col min="8" max="11" width="13.6328125" style="1" customWidth="1"/>
    <col min="12" max="16" width="8.81640625" style="1"/>
    <col min="17" max="17" width="10.26953125" style="1" bestFit="1" customWidth="1"/>
    <col min="18" max="16384" width="8.81640625" style="1"/>
  </cols>
  <sheetData>
    <row r="1" spans="2:16" ht="20" thickBot="1" x14ac:dyDescent="0.6">
      <c r="B1" s="39"/>
    </row>
    <row r="2" spans="2:16" x14ac:dyDescent="0.45">
      <c r="B2" s="38"/>
      <c r="C2" s="38"/>
      <c r="D2" s="38"/>
      <c r="E2" s="38"/>
      <c r="F2" s="37" t="s">
        <v>30</v>
      </c>
      <c r="G2" s="36"/>
      <c r="H2" s="35"/>
      <c r="I2" s="34" t="s">
        <v>29</v>
      </c>
      <c r="J2" s="33"/>
      <c r="K2" s="32"/>
    </row>
    <row r="3" spans="2:16" ht="34.9" customHeight="1" x14ac:dyDescent="0.45">
      <c r="B3" s="25" t="s">
        <v>28</v>
      </c>
      <c r="C3" s="25" t="s">
        <v>27</v>
      </c>
      <c r="D3" s="25" t="s">
        <v>26</v>
      </c>
      <c r="E3" s="24" t="s">
        <v>25</v>
      </c>
      <c r="F3" s="31" t="s">
        <v>24</v>
      </c>
      <c r="G3" s="30" t="s">
        <v>23</v>
      </c>
      <c r="H3" s="29" t="s">
        <v>20</v>
      </c>
      <c r="I3" s="28" t="s">
        <v>22</v>
      </c>
      <c r="J3" s="27" t="s">
        <v>21</v>
      </c>
      <c r="K3" s="26" t="s">
        <v>20</v>
      </c>
    </row>
    <row r="4" spans="2:16" ht="17.5" thickBot="1" x14ac:dyDescent="0.5">
      <c r="B4" s="25"/>
      <c r="C4" s="25"/>
      <c r="D4" s="25"/>
      <c r="E4" s="24"/>
      <c r="F4" s="23" t="s">
        <v>19</v>
      </c>
      <c r="G4" s="22" t="s">
        <v>19</v>
      </c>
      <c r="H4" s="21" t="s">
        <v>19</v>
      </c>
      <c r="I4" s="20" t="s">
        <v>18</v>
      </c>
      <c r="J4" s="19" t="s">
        <v>18</v>
      </c>
      <c r="K4" s="18" t="s">
        <v>18</v>
      </c>
    </row>
    <row r="5" spans="2:16" x14ac:dyDescent="0.45">
      <c r="B5" s="17" t="s">
        <v>17</v>
      </c>
      <c r="C5" s="17"/>
      <c r="D5" s="17" t="s">
        <v>15</v>
      </c>
      <c r="E5" s="16"/>
      <c r="F5" s="15">
        <v>459</v>
      </c>
      <c r="G5" s="9">
        <v>453</v>
      </c>
      <c r="H5" s="8">
        <v>-6</v>
      </c>
      <c r="I5" s="15"/>
      <c r="J5" s="14"/>
      <c r="K5" s="13"/>
    </row>
    <row r="6" spans="2:16" x14ac:dyDescent="0.45">
      <c r="B6" s="12" t="s">
        <v>17</v>
      </c>
      <c r="C6" s="12"/>
      <c r="D6" s="12" t="s">
        <v>31</v>
      </c>
      <c r="E6" s="11"/>
      <c r="F6" s="10">
        <v>296.746713</v>
      </c>
      <c r="G6" s="9">
        <v>283.94379749999996</v>
      </c>
      <c r="H6" s="8">
        <v>-12.80291550000004</v>
      </c>
      <c r="I6" s="10">
        <v>64.650700000000001</v>
      </c>
      <c r="J6" s="9">
        <v>62.680749999999996</v>
      </c>
      <c r="K6" s="8">
        <v>-1.969950000000001</v>
      </c>
      <c r="M6" s="2"/>
      <c r="N6" s="2"/>
      <c r="O6" s="2"/>
      <c r="P6" s="2"/>
    </row>
    <row r="7" spans="2:16" x14ac:dyDescent="0.45">
      <c r="B7" s="12" t="s">
        <v>17</v>
      </c>
      <c r="C7" s="12" t="s">
        <v>8</v>
      </c>
      <c r="D7" s="12" t="s">
        <v>31</v>
      </c>
      <c r="E7" s="11" t="s">
        <v>14</v>
      </c>
      <c r="F7" s="10">
        <v>239.70196349999998</v>
      </c>
      <c r="G7" s="9">
        <v>223.081209</v>
      </c>
      <c r="H7" s="8">
        <v>-16.620754499999975</v>
      </c>
      <c r="I7" s="10">
        <v>52.222649999999994</v>
      </c>
      <c r="J7" s="9">
        <v>49.2453</v>
      </c>
      <c r="K7" s="8">
        <v>-2.9773499999999982</v>
      </c>
      <c r="M7" s="2"/>
      <c r="N7" s="2"/>
      <c r="O7" s="2"/>
      <c r="P7" s="2"/>
    </row>
    <row r="8" spans="2:16" x14ac:dyDescent="0.45">
      <c r="B8" s="12" t="s">
        <v>17</v>
      </c>
      <c r="C8" s="12" t="s">
        <v>2</v>
      </c>
      <c r="D8" s="12" t="s">
        <v>31</v>
      </c>
      <c r="E8" s="11" t="s">
        <v>13</v>
      </c>
      <c r="F8" s="10">
        <v>8.1024974999999984</v>
      </c>
      <c r="G8" s="9">
        <v>10.033496999999997</v>
      </c>
      <c r="H8" s="8">
        <v>1.9309994999999986</v>
      </c>
      <c r="I8" s="10">
        <v>1.7652499999999998</v>
      </c>
      <c r="J8" s="9">
        <v>2.2148999999999996</v>
      </c>
      <c r="K8" s="8">
        <v>0.44964999999999999</v>
      </c>
      <c r="M8" s="2"/>
      <c r="N8" s="2"/>
      <c r="O8" s="2"/>
      <c r="P8" s="2"/>
    </row>
    <row r="9" spans="2:16" x14ac:dyDescent="0.45">
      <c r="B9" s="12" t="s">
        <v>17</v>
      </c>
      <c r="C9" s="12" t="s">
        <v>12</v>
      </c>
      <c r="D9" s="12" t="s">
        <v>31</v>
      </c>
      <c r="E9" s="11" t="s">
        <v>11</v>
      </c>
      <c r="F9" s="10">
        <v>48.942251999999996</v>
      </c>
      <c r="G9" s="9">
        <v>50.834300999999989</v>
      </c>
      <c r="H9" s="8">
        <v>1.892048999999993</v>
      </c>
      <c r="I9" s="10">
        <v>10.662799999999999</v>
      </c>
      <c r="J9" s="9">
        <v>11.221699999999998</v>
      </c>
      <c r="K9" s="8">
        <v>0.55889999999999862</v>
      </c>
      <c r="M9" s="2"/>
      <c r="N9" s="2"/>
      <c r="O9" s="2"/>
      <c r="P9" s="2"/>
    </row>
    <row r="10" spans="2:16" x14ac:dyDescent="0.45">
      <c r="B10" s="12" t="s">
        <v>17</v>
      </c>
      <c r="C10" s="12" t="s">
        <v>8</v>
      </c>
      <c r="D10" s="12" t="s">
        <v>10</v>
      </c>
      <c r="E10" s="11" t="s">
        <v>9</v>
      </c>
      <c r="F10" s="10">
        <v>31.011187499999998</v>
      </c>
      <c r="G10" s="9">
        <v>27.933338999999997</v>
      </c>
      <c r="H10" s="8">
        <v>-3.0778485000000018</v>
      </c>
      <c r="I10" s="10">
        <v>6.7562499999999996</v>
      </c>
      <c r="J10" s="9">
        <v>6.1662999999999997</v>
      </c>
      <c r="K10" s="8">
        <v>-0.58994999999999986</v>
      </c>
      <c r="M10" s="2"/>
      <c r="N10" s="2"/>
      <c r="O10" s="2"/>
      <c r="P10" s="2"/>
    </row>
    <row r="11" spans="2:16" x14ac:dyDescent="0.45">
      <c r="B11" s="12" t="s">
        <v>17</v>
      </c>
      <c r="C11" s="12" t="s">
        <v>8</v>
      </c>
      <c r="D11" s="12" t="s">
        <v>7</v>
      </c>
      <c r="E11" s="11" t="s">
        <v>6</v>
      </c>
      <c r="F11" s="10">
        <v>7.2579374999999988</v>
      </c>
      <c r="G11" s="9">
        <v>7.2620429999999985</v>
      </c>
      <c r="H11" s="8">
        <v>4.1054999999996511E-3</v>
      </c>
      <c r="I11" s="10">
        <v>1.5812499999999998</v>
      </c>
      <c r="J11" s="9">
        <v>1.6030999999999997</v>
      </c>
      <c r="K11" s="8">
        <f>J11-I11</f>
        <v>2.1849999999999925E-2</v>
      </c>
      <c r="M11" s="2"/>
      <c r="N11" s="2"/>
      <c r="O11" s="2"/>
      <c r="P11" s="2"/>
    </row>
    <row r="12" spans="2:16" x14ac:dyDescent="0.45">
      <c r="B12" s="12" t="s">
        <v>17</v>
      </c>
      <c r="C12" s="12" t="s">
        <v>2</v>
      </c>
      <c r="D12" s="12" t="s">
        <v>5</v>
      </c>
      <c r="E12" s="11" t="s">
        <v>4</v>
      </c>
      <c r="F12" s="10">
        <v>17.807811525000002</v>
      </c>
      <c r="G12" s="9">
        <v>19.94352885</v>
      </c>
      <c r="H12" s="8">
        <v>2.1357173249999999</v>
      </c>
      <c r="I12" s="10">
        <v>4.0644450000000001</v>
      </c>
      <c r="J12" s="9">
        <v>4.61219</v>
      </c>
      <c r="K12" s="8">
        <v>0.54774499999999982</v>
      </c>
      <c r="M12" s="2"/>
      <c r="N12" s="2"/>
      <c r="O12" s="2"/>
      <c r="P12" s="2"/>
    </row>
    <row r="13" spans="2:16" x14ac:dyDescent="0.45">
      <c r="B13" s="12" t="s">
        <v>17</v>
      </c>
      <c r="C13" s="12" t="s">
        <v>2</v>
      </c>
      <c r="D13" s="12" t="s">
        <v>1</v>
      </c>
      <c r="E13" s="11" t="s">
        <v>0</v>
      </c>
      <c r="F13" s="10">
        <v>27.468258299999999</v>
      </c>
      <c r="G13" s="9">
        <v>32.869079775000003</v>
      </c>
      <c r="H13" s="8">
        <v>5.4008214750000025</v>
      </c>
      <c r="I13" s="10">
        <v>6.2693400000000006</v>
      </c>
      <c r="J13" s="9">
        <v>7.6013850000000005</v>
      </c>
      <c r="K13" s="8">
        <v>1.3320449999999999</v>
      </c>
      <c r="M13" s="2"/>
      <c r="N13" s="2"/>
      <c r="O13" s="2"/>
      <c r="P13" s="2"/>
    </row>
    <row r="14" spans="2:16" x14ac:dyDescent="0.45">
      <c r="B14" s="12" t="s">
        <v>16</v>
      </c>
      <c r="C14" s="12"/>
      <c r="D14" s="12" t="s">
        <v>15</v>
      </c>
      <c r="E14" s="11"/>
      <c r="F14" s="10">
        <v>367.20000000000005</v>
      </c>
      <c r="G14" s="9">
        <v>362.40000000000003</v>
      </c>
      <c r="H14" s="8">
        <v>-4.8000000000000114</v>
      </c>
      <c r="I14" s="10"/>
      <c r="J14" s="9"/>
      <c r="K14" s="8"/>
      <c r="M14" s="2"/>
      <c r="N14" s="2"/>
      <c r="O14" s="2"/>
      <c r="P14" s="2"/>
    </row>
    <row r="15" spans="2:16" x14ac:dyDescent="0.45">
      <c r="B15" s="12" t="s">
        <v>16</v>
      </c>
      <c r="C15" s="12"/>
      <c r="D15" s="12" t="s">
        <v>31</v>
      </c>
      <c r="E15" s="11"/>
      <c r="F15" s="10">
        <v>233.79532200000003</v>
      </c>
      <c r="G15" s="9">
        <v>229.73061480000001</v>
      </c>
      <c r="H15" s="8">
        <v>-4.0647072000000151</v>
      </c>
      <c r="I15" s="10">
        <v>63.669750000000001</v>
      </c>
      <c r="J15" s="9">
        <v>63.391449999999992</v>
      </c>
      <c r="K15" s="8">
        <v>-0.2783000000000051</v>
      </c>
      <c r="M15" s="2"/>
      <c r="N15" s="2"/>
      <c r="O15" s="2"/>
      <c r="P15" s="2"/>
    </row>
    <row r="16" spans="2:16" x14ac:dyDescent="0.45">
      <c r="B16" s="12" t="s">
        <v>16</v>
      </c>
      <c r="C16" s="12" t="s">
        <v>8</v>
      </c>
      <c r="D16" s="12" t="s">
        <v>31</v>
      </c>
      <c r="E16" s="11" t="s">
        <v>14</v>
      </c>
      <c r="F16" s="10">
        <v>194.11367040000002</v>
      </c>
      <c r="G16" s="9">
        <v>188.13796679999999</v>
      </c>
      <c r="H16" s="8">
        <v>-5.9757036000000312</v>
      </c>
      <c r="I16" s="10">
        <v>52.863199999999999</v>
      </c>
      <c r="J16" s="9">
        <v>51.914449999999995</v>
      </c>
      <c r="K16" s="8">
        <v>-0.9487500000000032</v>
      </c>
      <c r="M16" s="2"/>
      <c r="N16" s="2"/>
      <c r="O16" s="2"/>
      <c r="P16" s="2"/>
    </row>
    <row r="17" spans="2:16" x14ac:dyDescent="0.45">
      <c r="B17" s="12" t="s">
        <v>16</v>
      </c>
      <c r="C17" s="12" t="s">
        <v>2</v>
      </c>
      <c r="D17" s="12" t="s">
        <v>31</v>
      </c>
      <c r="E17" s="11" t="s">
        <v>13</v>
      </c>
      <c r="F17" s="10">
        <v>3.2853384000000005</v>
      </c>
      <c r="G17" s="9">
        <v>4.2342816000000001</v>
      </c>
      <c r="H17" s="8">
        <v>0.94894319999999954</v>
      </c>
      <c r="I17" s="10">
        <v>0.89469999999999994</v>
      </c>
      <c r="J17" s="9">
        <v>1.1683999999999999</v>
      </c>
      <c r="K17" s="8">
        <v>0.27369999999999994</v>
      </c>
      <c r="M17" s="2"/>
      <c r="N17" s="2"/>
      <c r="O17" s="2"/>
      <c r="P17" s="2"/>
    </row>
    <row r="18" spans="2:16" x14ac:dyDescent="0.45">
      <c r="B18" s="12" t="s">
        <v>16</v>
      </c>
      <c r="C18" s="12" t="s">
        <v>12</v>
      </c>
      <c r="D18" s="12" t="s">
        <v>31</v>
      </c>
      <c r="E18" s="11" t="s">
        <v>11</v>
      </c>
      <c r="F18" s="10">
        <v>36.396313200000002</v>
      </c>
      <c r="G18" s="9">
        <v>37.358366400000001</v>
      </c>
      <c r="H18" s="8">
        <v>0.96205319999999972</v>
      </c>
      <c r="I18" s="10">
        <v>9.9118499999999994</v>
      </c>
      <c r="J18" s="9">
        <v>10.3086</v>
      </c>
      <c r="K18" s="8">
        <v>0.39675000000000071</v>
      </c>
      <c r="M18" s="2"/>
      <c r="N18" s="2"/>
      <c r="O18" s="2"/>
      <c r="P18" s="2"/>
    </row>
    <row r="19" spans="2:16" x14ac:dyDescent="0.45">
      <c r="B19" s="12" t="s">
        <v>16</v>
      </c>
      <c r="C19" s="12" t="s">
        <v>8</v>
      </c>
      <c r="D19" s="12" t="s">
        <v>10</v>
      </c>
      <c r="E19" s="11" t="s">
        <v>9</v>
      </c>
      <c r="F19" s="10">
        <v>19.036382400000001</v>
      </c>
      <c r="G19" s="9">
        <v>16.695405600000001</v>
      </c>
      <c r="H19" s="8">
        <v>-2.3409768</v>
      </c>
      <c r="I19" s="10">
        <v>5.1841999999999997</v>
      </c>
      <c r="J19" s="9">
        <v>4.6068999999999996</v>
      </c>
      <c r="K19" s="8">
        <v>-0.5772999999999997</v>
      </c>
      <c r="M19" s="2"/>
      <c r="N19" s="2"/>
      <c r="O19" s="2"/>
      <c r="P19" s="2"/>
    </row>
    <row r="20" spans="2:16" x14ac:dyDescent="0.45">
      <c r="B20" s="12" t="s">
        <v>16</v>
      </c>
      <c r="C20" s="12" t="s">
        <v>8</v>
      </c>
      <c r="D20" s="12" t="s">
        <v>7</v>
      </c>
      <c r="E20" s="11" t="s">
        <v>6</v>
      </c>
      <c r="F20" s="10">
        <v>3.1755456</v>
      </c>
      <c r="G20" s="9">
        <v>2.7547836000000001</v>
      </c>
      <c r="H20" s="8">
        <v>-0.42076199999999986</v>
      </c>
      <c r="I20" s="10">
        <v>0.8647999999999999</v>
      </c>
      <c r="J20" s="9">
        <v>0.76014999999999999</v>
      </c>
      <c r="K20" s="8">
        <v>-0.10464999999999998</v>
      </c>
      <c r="M20" s="2"/>
      <c r="N20" s="2"/>
      <c r="O20" s="2"/>
      <c r="P20" s="2"/>
    </row>
    <row r="21" spans="2:16" x14ac:dyDescent="0.45">
      <c r="B21" s="12" t="s">
        <v>16</v>
      </c>
      <c r="C21" s="12" t="s">
        <v>2</v>
      </c>
      <c r="D21" s="12" t="s">
        <v>5</v>
      </c>
      <c r="E21" s="11" t="s">
        <v>4</v>
      </c>
      <c r="F21" s="10">
        <v>19.052640180000001</v>
      </c>
      <c r="G21" s="9">
        <v>21.717988740000003</v>
      </c>
      <c r="H21" s="8">
        <v>2.6653485600000013</v>
      </c>
      <c r="I21" s="10">
        <v>5.4357049999999996</v>
      </c>
      <c r="J21" s="9">
        <v>6.2781950000000002</v>
      </c>
      <c r="K21" s="8">
        <v>0.84249000000000052</v>
      </c>
      <c r="M21" s="2"/>
      <c r="N21" s="2"/>
      <c r="O21" s="2"/>
      <c r="P21" s="2"/>
    </row>
    <row r="22" spans="2:16" x14ac:dyDescent="0.45">
      <c r="B22" s="12" t="s">
        <v>16</v>
      </c>
      <c r="C22" s="12" t="s">
        <v>2</v>
      </c>
      <c r="D22" s="12" t="s">
        <v>1</v>
      </c>
      <c r="E22" s="11" t="s">
        <v>0</v>
      </c>
      <c r="F22" s="10">
        <v>16.973122320000005</v>
      </c>
      <c r="G22" s="9">
        <v>15.337809900000002</v>
      </c>
      <c r="H22" s="8">
        <v>-1.6353124200000029</v>
      </c>
      <c r="I22" s="10">
        <v>4.8424199999999997</v>
      </c>
      <c r="J22" s="9">
        <v>4.4338249999999997</v>
      </c>
      <c r="K22" s="8">
        <v>-0.40859499999999993</v>
      </c>
      <c r="M22" s="2"/>
      <c r="N22" s="2"/>
      <c r="O22" s="2"/>
      <c r="P22" s="2"/>
    </row>
    <row r="23" spans="2:16" x14ac:dyDescent="0.45">
      <c r="B23" s="12" t="s">
        <v>3</v>
      </c>
      <c r="C23" s="12"/>
      <c r="D23" s="12" t="s">
        <v>15</v>
      </c>
      <c r="E23" s="11"/>
      <c r="F23" s="10">
        <v>91.800000000000011</v>
      </c>
      <c r="G23" s="9">
        <v>90.600000000000009</v>
      </c>
      <c r="H23" s="8">
        <v>-1.2000000000000028</v>
      </c>
      <c r="I23" s="10"/>
      <c r="J23" s="9"/>
      <c r="K23" s="8"/>
      <c r="M23" s="2"/>
      <c r="N23" s="2"/>
      <c r="O23" s="2"/>
      <c r="P23" s="2"/>
    </row>
    <row r="24" spans="2:16" x14ac:dyDescent="0.45">
      <c r="B24" s="12" t="s">
        <v>3</v>
      </c>
      <c r="C24" s="12"/>
      <c r="D24" s="12" t="s">
        <v>31</v>
      </c>
      <c r="E24" s="11"/>
      <c r="F24" s="10">
        <v>61.535697300000002</v>
      </c>
      <c r="G24" s="9">
        <v>55.231119</v>
      </c>
      <c r="H24" s="8">
        <v>-6.3045783000000029</v>
      </c>
      <c r="I24" s="10">
        <v>67.032349999999994</v>
      </c>
      <c r="J24" s="9">
        <v>60.961499999999994</v>
      </c>
      <c r="K24" s="8">
        <v>-6.0708500000000036</v>
      </c>
      <c r="M24" s="2"/>
      <c r="N24" s="2"/>
      <c r="O24" s="2"/>
      <c r="P24" s="2"/>
    </row>
    <row r="25" spans="2:16" x14ac:dyDescent="0.45">
      <c r="B25" s="12" t="s">
        <v>3</v>
      </c>
      <c r="C25" s="12" t="s">
        <v>8</v>
      </c>
      <c r="D25" s="12" t="s">
        <v>31</v>
      </c>
      <c r="E25" s="11" t="s">
        <v>14</v>
      </c>
      <c r="F25" s="10">
        <v>46.515197699999995</v>
      </c>
      <c r="G25" s="9">
        <v>38.764931400000009</v>
      </c>
      <c r="H25" s="8">
        <v>-7.7502662999999856</v>
      </c>
      <c r="I25" s="10">
        <v>50.670149999999992</v>
      </c>
      <c r="J25" s="9">
        <v>42.786900000000003</v>
      </c>
      <c r="K25" s="8">
        <v>-7.8832499999999959</v>
      </c>
      <c r="M25" s="2"/>
      <c r="N25" s="2"/>
      <c r="O25" s="2"/>
      <c r="P25" s="2"/>
    </row>
    <row r="26" spans="2:16" x14ac:dyDescent="0.45">
      <c r="B26" s="12" t="s">
        <v>3</v>
      </c>
      <c r="C26" s="12" t="s">
        <v>2</v>
      </c>
      <c r="D26" s="12" t="s">
        <v>31</v>
      </c>
      <c r="E26" s="11" t="s">
        <v>13</v>
      </c>
      <c r="F26" s="10">
        <v>3.5587647000000002</v>
      </c>
      <c r="G26" s="9">
        <v>4.2999213000000003</v>
      </c>
      <c r="H26" s="8">
        <v>0.74115660000000005</v>
      </c>
      <c r="I26" s="10">
        <v>3.8766499999999997</v>
      </c>
      <c r="J26" s="9">
        <v>4.7460499999999994</v>
      </c>
      <c r="K26" s="8">
        <v>0.86939999999999973</v>
      </c>
      <c r="M26" s="2"/>
      <c r="N26" s="2"/>
      <c r="O26" s="2"/>
      <c r="P26" s="2"/>
    </row>
    <row r="27" spans="2:16" x14ac:dyDescent="0.45">
      <c r="B27" s="12" t="s">
        <v>3</v>
      </c>
      <c r="C27" s="12" t="s">
        <v>12</v>
      </c>
      <c r="D27" s="12" t="s">
        <v>31</v>
      </c>
      <c r="E27" s="11" t="s">
        <v>11</v>
      </c>
      <c r="F27" s="10">
        <v>11.4617349</v>
      </c>
      <c r="G27" s="9">
        <v>12.167308200000001</v>
      </c>
      <c r="H27" s="8">
        <v>0.70557330000000107</v>
      </c>
      <c r="I27" s="10">
        <v>12.485549999999998</v>
      </c>
      <c r="J27" s="9">
        <v>13.4297</v>
      </c>
      <c r="K27" s="8">
        <v>0.94415000000000171</v>
      </c>
      <c r="M27" s="2"/>
      <c r="N27" s="2"/>
      <c r="O27" s="2"/>
      <c r="P27" s="2"/>
    </row>
    <row r="28" spans="2:16" x14ac:dyDescent="0.45">
      <c r="B28" s="12" t="s">
        <v>3</v>
      </c>
      <c r="C28" s="12" t="s">
        <v>8</v>
      </c>
      <c r="D28" s="12" t="s">
        <v>10</v>
      </c>
      <c r="E28" s="11" t="s">
        <v>9</v>
      </c>
      <c r="F28" s="10">
        <v>9.7050501000000011</v>
      </c>
      <c r="G28" s="9">
        <v>9.0040997999999988</v>
      </c>
      <c r="H28" s="8">
        <v>-0.70095030000000236</v>
      </c>
      <c r="I28" s="10">
        <v>10.571949999999999</v>
      </c>
      <c r="J28" s="9">
        <v>9.9382999999999981</v>
      </c>
      <c r="K28" s="8">
        <v>-0.63365000000000016</v>
      </c>
      <c r="M28" s="2"/>
      <c r="N28" s="2"/>
      <c r="O28" s="2"/>
      <c r="P28" s="2"/>
    </row>
    <row r="29" spans="2:16" x14ac:dyDescent="0.45">
      <c r="B29" s="12" t="s">
        <v>3</v>
      </c>
      <c r="C29" s="12" t="s">
        <v>8</v>
      </c>
      <c r="D29" s="12" t="s">
        <v>7</v>
      </c>
      <c r="E29" s="11" t="s">
        <v>6</v>
      </c>
      <c r="F29" s="10">
        <v>3.0478058999999997</v>
      </c>
      <c r="G29" s="9">
        <v>3.3007392000000002</v>
      </c>
      <c r="H29" s="8">
        <v>0.25293330000000047</v>
      </c>
      <c r="I29" s="10">
        <v>3.3200499999999997</v>
      </c>
      <c r="J29" s="9">
        <v>3.6431999999999998</v>
      </c>
      <c r="K29" s="8">
        <v>0.32315000000000016</v>
      </c>
      <c r="M29" s="2"/>
      <c r="N29" s="2"/>
      <c r="O29" s="2"/>
      <c r="P29" s="2"/>
    </row>
    <row r="30" spans="2:16" x14ac:dyDescent="0.45">
      <c r="B30" s="12" t="s">
        <v>3</v>
      </c>
      <c r="C30" s="12" t="s">
        <v>2</v>
      </c>
      <c r="D30" s="12" t="s">
        <v>5</v>
      </c>
      <c r="E30" s="11" t="s">
        <v>4</v>
      </c>
      <c r="F30" s="10">
        <v>0.64402978500000008</v>
      </c>
      <c r="G30" s="9">
        <v>0.50214370500000005</v>
      </c>
      <c r="H30" s="8">
        <v>-0.14188608000000003</v>
      </c>
      <c r="I30" s="10">
        <v>0.73496499999999998</v>
      </c>
      <c r="J30" s="9">
        <v>0.58063500000000001</v>
      </c>
      <c r="K30" s="8">
        <v>-0.15432999999999994</v>
      </c>
      <c r="M30" s="2"/>
      <c r="N30" s="2"/>
      <c r="O30" s="2"/>
      <c r="P30" s="2"/>
    </row>
    <row r="31" spans="2:16" ht="17.5" thickBot="1" x14ac:dyDescent="0.5">
      <c r="B31" s="7" t="s">
        <v>3</v>
      </c>
      <c r="C31" s="7" t="s">
        <v>2</v>
      </c>
      <c r="D31" s="7" t="s">
        <v>1</v>
      </c>
      <c r="E31" s="6" t="s">
        <v>0</v>
      </c>
      <c r="F31" s="5">
        <v>8.5286835900000018</v>
      </c>
      <c r="G31" s="4">
        <v>13.20233166</v>
      </c>
      <c r="H31" s="3">
        <v>4.6736480699999996</v>
      </c>
      <c r="I31" s="5">
        <v>9.7329099999999986</v>
      </c>
      <c r="J31" s="4">
        <v>15.266019999999999</v>
      </c>
      <c r="K31" s="3">
        <v>5.5331099999999998</v>
      </c>
      <c r="L31" s="2"/>
      <c r="M31" s="2"/>
      <c r="N31" s="2"/>
      <c r="O31" s="2"/>
      <c r="P31" s="2"/>
    </row>
  </sheetData>
  <autoFilter ref="A4:Q31" xr:uid="{C19F7442-C847-4BC8-ADE2-F3DDB640AE4A}"/>
  <conditionalFormatting sqref="H5:H31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J5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K5:K31">
    <cfRule type="cellIs" dxfId="1" priority="7" operator="lessThan">
      <formula>0</formula>
    </cfRule>
    <cfRule type="cellIs" dxfId="0" priority="8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5176A0-FFD4-4AF3-859D-D888CF5C6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9D0A6E-18B5-4730-99C4-C09AAEC916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E1EF02-F4E0-41B4-8F08-F9DE1F86F2B8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An, Tran-Thanh</cp:lastModifiedBy>
  <dcterms:created xsi:type="dcterms:W3CDTF">2024-12-10T23:15:45Z</dcterms:created>
  <dcterms:modified xsi:type="dcterms:W3CDTF">2026-05-18T05:53:21Z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