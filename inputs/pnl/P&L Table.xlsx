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tranvomanhtuan/Documents/SEO-V FBP Case Data/P&amp;L Table/"/>
    </mc:Choice>
  </mc:AlternateContent>
  <xr:revisionPtr revIDLastSave="0" documentId="13_ncr:1_{B3319CD4-AB81-CB4A-AB28-97E6913304B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nL table" sheetId="2" r:id="rId1"/>
  </sheets>
  <definedNames>
    <definedName name="Exchange_rate__EUR_VND">'PnL table'!$Q$21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2" l="1"/>
  <c r="M24" i="2" s="1"/>
  <c r="K24" i="2"/>
  <c r="L22" i="2"/>
  <c r="K22" i="2"/>
  <c r="K23" i="2" s="1"/>
  <c r="K31" i="2" s="1"/>
  <c r="I27" i="2"/>
  <c r="I33" i="2" s="1"/>
  <c r="I24" i="2"/>
  <c r="I25" i="2" s="1"/>
  <c r="I26" i="2" s="1"/>
  <c r="I22" i="2"/>
  <c r="H27" i="2"/>
  <c r="H24" i="2"/>
  <c r="H25" i="2" s="1"/>
  <c r="H22" i="2"/>
  <c r="F27" i="2"/>
  <c r="F24" i="2"/>
  <c r="F22" i="2"/>
  <c r="G22" i="2" s="1"/>
  <c r="E27" i="2"/>
  <c r="E33" i="2" s="1"/>
  <c r="E24" i="2"/>
  <c r="E25" i="2" s="1"/>
  <c r="E22" i="2"/>
  <c r="C27" i="2"/>
  <c r="C24" i="2"/>
  <c r="C22" i="2"/>
  <c r="C23" i="2" s="1"/>
  <c r="C31" i="2" s="1"/>
  <c r="C25" i="2"/>
  <c r="C26" i="2" s="1"/>
  <c r="B27" i="2"/>
  <c r="B24" i="2"/>
  <c r="B23" i="2" s="1"/>
  <c r="B22" i="2"/>
  <c r="D22" i="2"/>
  <c r="J22" i="2"/>
  <c r="H23" i="2"/>
  <c r="H31" i="2" s="1"/>
  <c r="L23" i="2"/>
  <c r="L31" i="2" s="1"/>
  <c r="C30" i="2"/>
  <c r="E30" i="2"/>
  <c r="H30" i="2"/>
  <c r="I30" i="2"/>
  <c r="E15" i="2"/>
  <c r="K14" i="2"/>
  <c r="K8" i="2"/>
  <c r="I14" i="2"/>
  <c r="H14" i="2"/>
  <c r="F14" i="2"/>
  <c r="G14" i="2" s="1"/>
  <c r="E14" i="2"/>
  <c r="C14" i="2"/>
  <c r="B14" i="2"/>
  <c r="D14" i="2" s="1"/>
  <c r="F13" i="2"/>
  <c r="C13" i="2"/>
  <c r="L12" i="2"/>
  <c r="M12" i="2" s="1"/>
  <c r="K12" i="2"/>
  <c r="I12" i="2"/>
  <c r="C12" i="2"/>
  <c r="I11" i="2"/>
  <c r="J11" i="2" s="1"/>
  <c r="H11" i="2"/>
  <c r="F11" i="2"/>
  <c r="G11" i="2" s="1"/>
  <c r="E11" i="2"/>
  <c r="C11" i="2"/>
  <c r="D11" i="2" s="1"/>
  <c r="B11" i="2"/>
  <c r="L8" i="2"/>
  <c r="L14" i="2" s="1"/>
  <c r="M14" i="2" s="1"/>
  <c r="J8" i="2"/>
  <c r="G8" i="2"/>
  <c r="D8" i="2"/>
  <c r="L6" i="2"/>
  <c r="L7" i="2" s="1"/>
  <c r="L13" i="2" s="1"/>
  <c r="I6" i="2"/>
  <c r="I7" i="2" s="1"/>
  <c r="F6" i="2"/>
  <c r="F7" i="2" s="1"/>
  <c r="C6" i="2"/>
  <c r="C7" i="2" s="1"/>
  <c r="H6" i="2"/>
  <c r="J6" i="2" s="1"/>
  <c r="E6" i="2"/>
  <c r="E7" i="2" s="1"/>
  <c r="E9" i="2" s="1"/>
  <c r="B6" i="2"/>
  <c r="B7" i="2" s="1"/>
  <c r="B9" i="2" s="1"/>
  <c r="B15" i="2" s="1"/>
  <c r="M5" i="2"/>
  <c r="M3" i="2"/>
  <c r="J5" i="2"/>
  <c r="J3" i="2"/>
  <c r="G5" i="2"/>
  <c r="G3" i="2"/>
  <c r="D5" i="2"/>
  <c r="D3" i="2"/>
  <c r="L4" i="2"/>
  <c r="M4" i="2" s="1"/>
  <c r="K4" i="2"/>
  <c r="H4" i="2"/>
  <c r="J4" i="2" s="1"/>
  <c r="I4" i="2"/>
  <c r="F4" i="2"/>
  <c r="G4" i="2" s="1"/>
  <c r="E4" i="2"/>
  <c r="E12" i="2" s="1"/>
  <c r="C4" i="2"/>
  <c r="B4" i="2"/>
  <c r="B12" i="2" s="1"/>
  <c r="J24" i="2" l="1"/>
  <c r="B25" i="2"/>
  <c r="B26" i="2" s="1"/>
  <c r="B28" i="2" s="1"/>
  <c r="E23" i="2"/>
  <c r="G27" i="2"/>
  <c r="J25" i="2"/>
  <c r="H26" i="2"/>
  <c r="H32" i="2" s="1"/>
  <c r="M22" i="2"/>
  <c r="I23" i="2"/>
  <c r="I31" i="2" s="1"/>
  <c r="J27" i="2"/>
  <c r="H33" i="2"/>
  <c r="K27" i="2"/>
  <c r="K33" i="2" s="1"/>
  <c r="J33" i="2"/>
  <c r="J30" i="2"/>
  <c r="J31" i="2"/>
  <c r="F33" i="2"/>
  <c r="G33" i="2" s="1"/>
  <c r="F25" i="2"/>
  <c r="F26" i="2" s="1"/>
  <c r="F30" i="2"/>
  <c r="G30" i="2" s="1"/>
  <c r="G24" i="2"/>
  <c r="F23" i="2"/>
  <c r="F31" i="2" s="1"/>
  <c r="G25" i="2"/>
  <c r="E26" i="2"/>
  <c r="E31" i="2"/>
  <c r="D27" i="2"/>
  <c r="C33" i="2"/>
  <c r="L27" i="2"/>
  <c r="C28" i="2"/>
  <c r="L25" i="2"/>
  <c r="L26" i="2" s="1"/>
  <c r="B31" i="2"/>
  <c r="D31" i="2" s="1"/>
  <c r="B33" i="2"/>
  <c r="D33" i="2" s="1"/>
  <c r="K25" i="2"/>
  <c r="K26" i="2" s="1"/>
  <c r="K32" i="2" s="1"/>
  <c r="B30" i="2"/>
  <c r="D30" i="2" s="1"/>
  <c r="D24" i="2"/>
  <c r="I28" i="2"/>
  <c r="I32" i="2"/>
  <c r="I9" i="2"/>
  <c r="I15" i="2" s="1"/>
  <c r="I13" i="2"/>
  <c r="D13" i="2"/>
  <c r="M31" i="2"/>
  <c r="D12" i="2"/>
  <c r="M23" i="2"/>
  <c r="D23" i="2"/>
  <c r="D4" i="2"/>
  <c r="J14" i="2"/>
  <c r="F12" i="2"/>
  <c r="G12" i="2" s="1"/>
  <c r="B13" i="2"/>
  <c r="H12" i="2"/>
  <c r="J12" i="2" s="1"/>
  <c r="E13" i="2"/>
  <c r="G13" i="2" s="1"/>
  <c r="M8" i="2"/>
  <c r="L9" i="2"/>
  <c r="L15" i="2" s="1"/>
  <c r="D7" i="2"/>
  <c r="C9" i="2"/>
  <c r="G7" i="2"/>
  <c r="F9" i="2"/>
  <c r="J7" i="2"/>
  <c r="K6" i="2"/>
  <c r="K7" i="2" s="1"/>
  <c r="H7" i="2"/>
  <c r="M6" i="2"/>
  <c r="D6" i="2"/>
  <c r="G6" i="2"/>
  <c r="H28" i="2" l="1"/>
  <c r="H34" i="2" s="1"/>
  <c r="J26" i="2"/>
  <c r="J23" i="2"/>
  <c r="M27" i="2"/>
  <c r="F32" i="2"/>
  <c r="F28" i="2"/>
  <c r="F34" i="2" s="1"/>
  <c r="G23" i="2"/>
  <c r="G31" i="2"/>
  <c r="E32" i="2"/>
  <c r="G26" i="2"/>
  <c r="E28" i="2"/>
  <c r="L33" i="2"/>
  <c r="M33" i="2" s="1"/>
  <c r="L28" i="2"/>
  <c r="L34" i="2" s="1"/>
  <c r="C32" i="2"/>
  <c r="L32" i="2"/>
  <c r="M32" i="2" s="1"/>
  <c r="M26" i="2"/>
  <c r="D25" i="2"/>
  <c r="K28" i="2"/>
  <c r="K34" i="2" s="1"/>
  <c r="M25" i="2"/>
  <c r="J32" i="2"/>
  <c r="G9" i="2"/>
  <c r="F15" i="2"/>
  <c r="G15" i="2" s="1"/>
  <c r="J13" i="2"/>
  <c r="D9" i="2"/>
  <c r="C15" i="2"/>
  <c r="D15" i="2" s="1"/>
  <c r="H9" i="2"/>
  <c r="H13" i="2"/>
  <c r="J28" i="2"/>
  <c r="I34" i="2"/>
  <c r="J34" i="2" s="1"/>
  <c r="C34" i="2"/>
  <c r="K9" i="2"/>
  <c r="K15" i="2" s="1"/>
  <c r="M15" i="2" s="1"/>
  <c r="K13" i="2"/>
  <c r="M13" i="2" s="1"/>
  <c r="M7" i="2"/>
  <c r="M9" i="2"/>
  <c r="G32" i="2" l="1"/>
  <c r="M28" i="2"/>
  <c r="E34" i="2"/>
  <c r="G34" i="2" s="1"/>
  <c r="G28" i="2"/>
  <c r="D26" i="2"/>
  <c r="B32" i="2"/>
  <c r="D32" i="2" s="1"/>
  <c r="M34" i="2"/>
  <c r="H15" i="2"/>
  <c r="J15" i="2" s="1"/>
  <c r="J9" i="2"/>
  <c r="B34" i="2" l="1"/>
  <c r="D34" i="2" s="1"/>
  <c r="D28" i="2"/>
</calcChain>
</file>

<file path=xl/sharedStrings.xml><?xml version="1.0" encoding="utf-8"?>
<sst xmlns="http://schemas.openxmlformats.org/spreadsheetml/2006/main" count="51" uniqueCount="25">
  <si>
    <t>OLIVE</t>
  </si>
  <si>
    <t>COBALT</t>
  </si>
  <si>
    <t>SKY</t>
  </si>
  <si>
    <t>TOTAL</t>
  </si>
  <si>
    <t>Assumption</t>
  </si>
  <si>
    <t>Gross Sales Value (GSV)</t>
  </si>
  <si>
    <t>Calculate based on sales data</t>
  </si>
  <si>
    <t>Discount</t>
  </si>
  <si>
    <t>Turnover (TO)</t>
  </si>
  <si>
    <t>Total Supply Chain Cost</t>
  </si>
  <si>
    <t>Total supply chain cost in 2023 Olive is 49% on TO, 46% for Cobalt, 67% for Sky
Total supply chain cost in 2024 Olive is 50% on TO, 45% for Cobalt, 65% for Sky</t>
  </si>
  <si>
    <t>Gross Profit (GP)</t>
  </si>
  <si>
    <t>Marketing Expense</t>
  </si>
  <si>
    <t>In 2023, 50,000kE for Olive, 2000kE for Cobalt and 6000kE for Sky
In 2024, 35,000kE for Olive, 2500kE for Cobalt and 5000kE for Sky</t>
  </si>
  <si>
    <t>Profit before Overheads (PBO)</t>
  </si>
  <si>
    <t>Discount % TO</t>
  </si>
  <si>
    <t>Marketing Expense % TO</t>
  </si>
  <si>
    <t>PBO % TO</t>
  </si>
  <si>
    <t>Financial Metrics</t>
  </si>
  <si>
    <t>YoY</t>
  </si>
  <si>
    <t>TO Contribution %</t>
  </si>
  <si>
    <t>Gross Margin %</t>
  </si>
  <si>
    <t>Exchange rate (EUR/VND)</t>
  </si>
  <si>
    <t>P&amp;L 2024 &amp; 2023 (in €)</t>
  </si>
  <si>
    <t>P&amp;L 2024 &amp; 2023 (in 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</si>
</sst>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[$€-2]\ * #,##0.00_);_([$€-2]\ * \(#,##0.00\);_([$€-2]\ * &quot;-&quot;??_);_(@_)"/>
    <numFmt numFmtId="172" formatCode="_([$VND]\ * #,##0_);_([$VND]\ * \(#,##0\);_([$VND]\ * &quot;-&quot;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Unilever Shilling"/>
      <family val="2"/>
    </font>
    <font>
      <b/>
      <sz val="11"/>
      <color theme="0"/>
      <name val="Unilever Shilling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rgb="FF1F1F1F"/>
      <name val="Times New Roman"/>
      <family val="1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2F7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2" borderId="2" xfId="0" applyFont="1" applyFill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4" fillId="4" borderId="15" xfId="0" applyFont="1" applyFill="1" applyBorder="1"/>
    <xf numFmtId="0" fontId="4" fillId="4" borderId="12" xfId="0" applyFont="1" applyFill="1" applyBorder="1"/>
    <xf numFmtId="0" fontId="5" fillId="3" borderId="5" xfId="0" applyFont="1" applyFill="1" applyBorder="1"/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0" borderId="8" xfId="0" applyFont="1" applyBorder="1"/>
    <xf numFmtId="0" fontId="6" fillId="0" borderId="0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171" fontId="7" fillId="0" borderId="0" xfId="0" applyNumberFormat="1" applyFont="1"/>
    <xf numFmtId="9" fontId="8" fillId="0" borderId="0" xfId="1" applyNumberFormat="1" applyFont="1" applyBorder="1"/>
    <xf numFmtId="9" fontId="8" fillId="0" borderId="0" xfId="1" applyFont="1" applyBorder="1"/>
    <xf numFmtId="171" fontId="7" fillId="0" borderId="14" xfId="0" applyNumberFormat="1" applyFont="1" applyFill="1" applyBorder="1"/>
    <xf numFmtId="0" fontId="8" fillId="0" borderId="8" xfId="0" applyFont="1" applyBorder="1"/>
    <xf numFmtId="171" fontId="8" fillId="0" borderId="0" xfId="0" applyNumberFormat="1" applyFont="1" applyBorder="1"/>
    <xf numFmtId="0" fontId="6" fillId="0" borderId="13" xfId="0" applyFont="1" applyBorder="1"/>
    <xf numFmtId="0" fontId="8" fillId="0" borderId="13" xfId="0" applyFont="1" applyBorder="1"/>
    <xf numFmtId="9" fontId="8" fillId="0" borderId="0" xfId="0" applyNumberFormat="1" applyFont="1" applyBorder="1"/>
    <xf numFmtId="0" fontId="8" fillId="0" borderId="0" xfId="0" applyFont="1" applyBorder="1"/>
    <xf numFmtId="9" fontId="7" fillId="0" borderId="0" xfId="1" applyFont="1"/>
    <xf numFmtId="0" fontId="6" fillId="0" borderId="10" xfId="0" applyFont="1" applyBorder="1"/>
    <xf numFmtId="9" fontId="8" fillId="0" borderId="11" xfId="1" applyFont="1" applyBorder="1"/>
    <xf numFmtId="9" fontId="8" fillId="0" borderId="11" xfId="0" applyNumberFormat="1" applyFont="1" applyBorder="1"/>
    <xf numFmtId="0" fontId="7" fillId="0" borderId="0" xfId="0" applyFont="1"/>
    <xf numFmtId="172" fontId="7" fillId="0" borderId="0" xfId="0" applyNumberFormat="1" applyFont="1"/>
    <xf numFmtId="172" fontId="8" fillId="0" borderId="0" xfId="0" applyNumberFormat="1" applyFont="1" applyBorder="1"/>
  </cellXfs>
  <cellStyles count="2">
    <cellStyle name="Normal" xfId="0" builtinId="0"/>
    <cellStyle name="Per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7129-D5CC-C94D-8D30-30306FB94E8B}">
  <dimension ref="A1:Q34"/>
  <sheetViews>
    <sheetView tabSelected="1" workbookViewId="0">
      <selection activeCell="H18" sqref="H18"/>
    </sheetView>
  </sheetViews>
  <sheetFormatPr baseColWidth="10" defaultRowHeight="15"/>
  <cols>
    <col min="1" max="1" width="28.5" bestFit="1" customWidth="1"/>
    <col min="2" max="3" width="18.6640625" bestFit="1" customWidth="1"/>
    <col min="4" max="4" width="7.33203125" bestFit="1" customWidth="1"/>
    <col min="5" max="6" width="17.1640625" bestFit="1" customWidth="1"/>
    <col min="7" max="7" width="7.33203125" bestFit="1" customWidth="1"/>
    <col min="8" max="9" width="18.6640625" bestFit="1" customWidth="1"/>
    <col min="10" max="10" width="5.6640625" bestFit="1" customWidth="1"/>
    <col min="11" max="12" width="18.6640625" bestFit="1" customWidth="1"/>
    <col min="13" max="13" width="7.33203125" bestFit="1" customWidth="1"/>
    <col min="16" max="16" width="41" customWidth="1"/>
  </cols>
  <sheetData>
    <row r="1" spans="1:16">
      <c r="A1" s="8" t="s">
        <v>23</v>
      </c>
      <c r="B1" s="9" t="s">
        <v>0</v>
      </c>
      <c r="C1" s="9"/>
      <c r="D1" s="9"/>
      <c r="E1" s="9" t="s">
        <v>1</v>
      </c>
      <c r="F1" s="9"/>
      <c r="G1" s="9"/>
      <c r="H1" s="9" t="s">
        <v>2</v>
      </c>
      <c r="I1" s="9"/>
      <c r="J1" s="9"/>
      <c r="K1" s="9" t="s">
        <v>3</v>
      </c>
      <c r="L1" s="9"/>
      <c r="M1" s="10"/>
    </row>
    <row r="2" spans="1:16">
      <c r="A2" s="11" t="s">
        <v>18</v>
      </c>
      <c r="B2" s="12">
        <v>2023</v>
      </c>
      <c r="C2" s="12">
        <v>2024</v>
      </c>
      <c r="D2" s="12" t="s">
        <v>19</v>
      </c>
      <c r="E2" s="12">
        <v>2023</v>
      </c>
      <c r="F2" s="12">
        <v>2024</v>
      </c>
      <c r="G2" s="12" t="s">
        <v>19</v>
      </c>
      <c r="H2" s="12">
        <v>2023</v>
      </c>
      <c r="I2" s="12">
        <v>2024</v>
      </c>
      <c r="J2" s="12" t="s">
        <v>19</v>
      </c>
      <c r="K2" s="12">
        <v>2023</v>
      </c>
      <c r="L2" s="12">
        <v>2024</v>
      </c>
      <c r="M2" s="13" t="s">
        <v>19</v>
      </c>
      <c r="P2" s="1" t="s">
        <v>4</v>
      </c>
    </row>
    <row r="3" spans="1:16">
      <c r="A3" s="11" t="s">
        <v>5</v>
      </c>
      <c r="B3" s="14">
        <v>293855.90000000014</v>
      </c>
      <c r="C3" s="14">
        <v>275112.90000000002</v>
      </c>
      <c r="D3" s="15">
        <f>C3/B3-1</f>
        <v>-6.3782963010101557E-2</v>
      </c>
      <c r="E3" s="14">
        <v>10609.20000000001</v>
      </c>
      <c r="F3" s="14">
        <v>11560.099999999997</v>
      </c>
      <c r="G3" s="16">
        <f>F3/E3-1</f>
        <v>8.9629755306713577E-2</v>
      </c>
      <c r="H3" s="14">
        <v>67063.199999999968</v>
      </c>
      <c r="I3" s="14">
        <v>62574.59999999994</v>
      </c>
      <c r="J3" s="16">
        <f>I3/H3-1</f>
        <v>-6.6930895036324434E-2</v>
      </c>
      <c r="K3" s="17">
        <v>371528.3000000001</v>
      </c>
      <c r="L3" s="17">
        <v>349247.59999999992</v>
      </c>
      <c r="M3" s="16">
        <f>L3/K3-1</f>
        <v>-5.9970397948151399E-2</v>
      </c>
      <c r="P3" s="2" t="s">
        <v>6</v>
      </c>
    </row>
    <row r="4" spans="1:16">
      <c r="A4" s="18" t="s">
        <v>7</v>
      </c>
      <c r="B4" s="19">
        <f>B3-B5</f>
        <v>64729.600000000326</v>
      </c>
      <c r="C4" s="19">
        <f>C3-C5</f>
        <v>62611.699999999808</v>
      </c>
      <c r="D4" s="15">
        <f>C4/B4-1</f>
        <v>-3.2719188748277617E-2</v>
      </c>
      <c r="E4" s="19">
        <f>E3-E5</f>
        <v>2232.7999999999956</v>
      </c>
      <c r="F4" s="19">
        <f>F3-F5</f>
        <v>2209.7999999999938</v>
      </c>
      <c r="G4" s="16">
        <f t="shared" ref="G4:G9" si="0">F4/E4-1</f>
        <v>-1.0300967395199701E-2</v>
      </c>
      <c r="H4" s="19">
        <f>H3-H5</f>
        <v>14499.000000000007</v>
      </c>
      <c r="I4" s="19">
        <f>I3-I5</f>
        <v>13921.799999999981</v>
      </c>
      <c r="J4" s="16">
        <f t="shared" ref="J4:J9" si="1">I4/H4-1</f>
        <v>-3.9809642044280724E-2</v>
      </c>
      <c r="K4" s="19">
        <f>K3-K5</f>
        <v>81461.400000000314</v>
      </c>
      <c r="L4" s="19">
        <f>L3-L5</f>
        <v>78743.299999999756</v>
      </c>
      <c r="M4" s="16">
        <f t="shared" ref="M4:M9" si="2">L4/K4-1</f>
        <v>-3.3366723380650831E-2</v>
      </c>
      <c r="P4" s="3" t="s">
        <v>6</v>
      </c>
    </row>
    <row r="5" spans="1:16">
      <c r="A5" s="11" t="s">
        <v>8</v>
      </c>
      <c r="B5" s="14">
        <v>229126.29999999981</v>
      </c>
      <c r="C5" s="14">
        <v>212501.20000000022</v>
      </c>
      <c r="D5" s="15">
        <f>C5/B5-1</f>
        <v>-7.2558671789312745E-2</v>
      </c>
      <c r="E5" s="14">
        <v>8376.4000000000142</v>
      </c>
      <c r="F5" s="14">
        <v>9350.3000000000029</v>
      </c>
      <c r="G5" s="16">
        <f t="shared" si="0"/>
        <v>0.11626713146458956</v>
      </c>
      <c r="H5" s="14">
        <v>52564.199999999961</v>
      </c>
      <c r="I5" s="14">
        <v>48652.799999999959</v>
      </c>
      <c r="J5" s="16">
        <f t="shared" si="1"/>
        <v>-7.4411862065816736E-2</v>
      </c>
      <c r="K5" s="19">
        <v>290066.89999999979</v>
      </c>
      <c r="L5" s="19">
        <v>270504.30000000016</v>
      </c>
      <c r="M5" s="16">
        <f t="shared" si="2"/>
        <v>-6.7441683280648812E-2</v>
      </c>
      <c r="P5" s="3" t="s">
        <v>6</v>
      </c>
    </row>
    <row r="6" spans="1:16" ht="91">
      <c r="A6" s="18" t="s">
        <v>9</v>
      </c>
      <c r="B6" s="19">
        <f>0.49*B5</f>
        <v>112271.8869999999</v>
      </c>
      <c r="C6" s="19">
        <f>0.5*C5</f>
        <v>106250.60000000011</v>
      </c>
      <c r="D6" s="15">
        <f>C6/B6-1</f>
        <v>-5.3631297744196615E-2</v>
      </c>
      <c r="E6" s="19">
        <f>0.46*E5</f>
        <v>3853.1440000000066</v>
      </c>
      <c r="F6" s="19">
        <f>0.45*F5</f>
        <v>4207.6350000000011</v>
      </c>
      <c r="G6" s="16">
        <f t="shared" si="0"/>
        <v>9.2000454693619949E-2</v>
      </c>
      <c r="H6" s="19">
        <f>0.67*H5</f>
        <v>35218.013999999974</v>
      </c>
      <c r="I6" s="19">
        <f>0.65*I5</f>
        <v>31624.319999999974</v>
      </c>
      <c r="J6" s="16">
        <f t="shared" si="1"/>
        <v>-0.10204135872056841</v>
      </c>
      <c r="K6" s="19">
        <f>SUM(B6,E6,H6)</f>
        <v>151343.04499999987</v>
      </c>
      <c r="L6" s="19">
        <f>SUM(C6,F6,I6)</f>
        <v>142082.55500000008</v>
      </c>
      <c r="M6" s="16">
        <f t="shared" si="2"/>
        <v>-6.1188738471594784E-2</v>
      </c>
      <c r="P6" s="4" t="s">
        <v>10</v>
      </c>
    </row>
    <row r="7" spans="1:16">
      <c r="A7" s="11" t="s">
        <v>11</v>
      </c>
      <c r="B7" s="19">
        <f>B5-B6</f>
        <v>116854.41299999991</v>
      </c>
      <c r="C7" s="19">
        <f>C5-C6</f>
        <v>106250.60000000011</v>
      </c>
      <c r="D7" s="15">
        <f t="shared" ref="D7:D9" si="3">C7/B7-1</f>
        <v>-9.074379587187531E-2</v>
      </c>
      <c r="E7" s="19">
        <f>E5-E6</f>
        <v>4523.2560000000076</v>
      </c>
      <c r="F7" s="19">
        <f>F5-F6</f>
        <v>5142.6650000000018</v>
      </c>
      <c r="G7" s="16">
        <f t="shared" si="0"/>
        <v>0.13693874501022996</v>
      </c>
      <c r="H7" s="19">
        <f>H5-H6</f>
        <v>17346.185999999987</v>
      </c>
      <c r="I7" s="19">
        <f>I5-I6</f>
        <v>17028.479999999985</v>
      </c>
      <c r="J7" s="16">
        <f t="shared" si="1"/>
        <v>-1.8315611281926936E-2</v>
      </c>
      <c r="K7" s="19">
        <f>K5-K6</f>
        <v>138723.85499999992</v>
      </c>
      <c r="L7" s="19">
        <f>L5-L6</f>
        <v>128421.74500000008</v>
      </c>
      <c r="M7" s="16">
        <f t="shared" si="2"/>
        <v>-7.4263435081153517E-2</v>
      </c>
      <c r="P7" s="3"/>
    </row>
    <row r="8" spans="1:16" ht="91">
      <c r="A8" s="18" t="s">
        <v>12</v>
      </c>
      <c r="B8" s="19">
        <v>50000</v>
      </c>
      <c r="C8" s="19">
        <v>35000</v>
      </c>
      <c r="D8" s="15">
        <f t="shared" si="3"/>
        <v>-0.30000000000000004</v>
      </c>
      <c r="E8" s="19">
        <v>2000</v>
      </c>
      <c r="F8" s="19">
        <v>2500</v>
      </c>
      <c r="G8" s="16">
        <f t="shared" si="0"/>
        <v>0.25</v>
      </c>
      <c r="H8" s="19">
        <v>6000</v>
      </c>
      <c r="I8" s="19">
        <v>5000</v>
      </c>
      <c r="J8" s="16">
        <f t="shared" si="1"/>
        <v>-0.16666666666666663</v>
      </c>
      <c r="K8" s="19">
        <f>SUM(B8,E8,H8)</f>
        <v>58000</v>
      </c>
      <c r="L8" s="19">
        <f>SUM(C8,F8,I8)</f>
        <v>42500</v>
      </c>
      <c r="M8" s="16">
        <f t="shared" si="2"/>
        <v>-0.26724137931034486</v>
      </c>
      <c r="P8" s="4" t="s">
        <v>13</v>
      </c>
    </row>
    <row r="9" spans="1:16">
      <c r="A9" s="11" t="s">
        <v>14</v>
      </c>
      <c r="B9" s="19">
        <f>B7-B8</f>
        <v>66854.412999999913</v>
      </c>
      <c r="C9" s="19">
        <f>C7-C8</f>
        <v>71250.600000000108</v>
      </c>
      <c r="D9" s="15">
        <f t="shared" si="3"/>
        <v>6.5757618722943612E-2</v>
      </c>
      <c r="E9" s="19">
        <f>E7-E8</f>
        <v>2523.2560000000076</v>
      </c>
      <c r="F9" s="19">
        <f>F7-F8</f>
        <v>2642.6650000000018</v>
      </c>
      <c r="G9" s="16">
        <f t="shared" si="0"/>
        <v>4.7323378999195365E-2</v>
      </c>
      <c r="H9" s="19">
        <f>H7-H8</f>
        <v>11346.185999999987</v>
      </c>
      <c r="I9" s="19">
        <f>I7-I8</f>
        <v>12028.479999999985</v>
      </c>
      <c r="J9" s="16">
        <f t="shared" si="1"/>
        <v>6.013421602642488E-2</v>
      </c>
      <c r="K9" s="19">
        <f>K7-K8</f>
        <v>80723.854999999923</v>
      </c>
      <c r="L9" s="19">
        <f>L7-L8</f>
        <v>85921.745000000083</v>
      </c>
      <c r="M9" s="16">
        <f t="shared" si="2"/>
        <v>6.4391003130365387E-2</v>
      </c>
      <c r="P9" s="5"/>
    </row>
    <row r="10" spans="1:16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6">
      <c r="A11" s="18" t="s">
        <v>20</v>
      </c>
      <c r="B11" s="16">
        <f>B5/$K$5</f>
        <v>0.78990846594354602</v>
      </c>
      <c r="C11" s="16">
        <f>C5/$K$5</f>
        <v>0.73259375681954875</v>
      </c>
      <c r="D11" s="22">
        <f>C11/B11-1</f>
        <v>-7.2558671789312745E-2</v>
      </c>
      <c r="E11" s="16">
        <f>E5/$K$5</f>
        <v>2.8877476196008646E-2</v>
      </c>
      <c r="F11" s="16">
        <f>F5/$K$5</f>
        <v>3.2234977517255535E-2</v>
      </c>
      <c r="G11" s="22">
        <f>F11/E11-1</f>
        <v>0.11626713146458934</v>
      </c>
      <c r="H11" s="16">
        <f>H5/$K$5</f>
        <v>0.18121405786044528</v>
      </c>
      <c r="I11" s="16">
        <f>I5/$K$5</f>
        <v>0.1677295823825469</v>
      </c>
      <c r="J11" s="22">
        <f>I11/H11-1</f>
        <v>-7.4411862065816736E-2</v>
      </c>
      <c r="K11" s="23"/>
      <c r="L11" s="23"/>
      <c r="M11" s="22"/>
    </row>
    <row r="12" spans="1:16">
      <c r="A12" s="18" t="s">
        <v>15</v>
      </c>
      <c r="B12" s="16">
        <f>B4/B5</f>
        <v>0.28250619854639286</v>
      </c>
      <c r="C12" s="16">
        <f>C4/C5</f>
        <v>0.2946416302590279</v>
      </c>
      <c r="D12" s="22">
        <f>C12/B12-1</f>
        <v>4.2956337861175031E-2</v>
      </c>
      <c r="E12" s="16">
        <f>E4/E5</f>
        <v>0.26655842605415114</v>
      </c>
      <c r="F12" s="16">
        <f>F4/F5</f>
        <v>0.23633466305893855</v>
      </c>
      <c r="G12" s="22">
        <f>F12/E12-1</f>
        <v>-0.11338513451858645</v>
      </c>
      <c r="H12" s="24">
        <f>H4/H5</f>
        <v>0.27583412284406533</v>
      </c>
      <c r="I12" s="16">
        <f>I4/I5</f>
        <v>0.28614591554853969</v>
      </c>
      <c r="J12" s="22">
        <f>I12/H12-1</f>
        <v>3.7384035731880205E-2</v>
      </c>
      <c r="K12" s="16">
        <f>K4/K5</f>
        <v>0.28083659321349791</v>
      </c>
      <c r="L12" s="16">
        <f>L4/L5</f>
        <v>0.29109814520508437</v>
      </c>
      <c r="M12" s="22">
        <f>L12/K12-1</f>
        <v>3.6539226865586638E-2</v>
      </c>
    </row>
    <row r="13" spans="1:16">
      <c r="A13" s="18" t="s">
        <v>21</v>
      </c>
      <c r="B13" s="16">
        <f>B7/B5</f>
        <v>0.51</v>
      </c>
      <c r="C13" s="16">
        <f>C7/C5</f>
        <v>0.5</v>
      </c>
      <c r="D13" s="22">
        <f>C13/B13-1</f>
        <v>-1.9607843137254943E-2</v>
      </c>
      <c r="E13" s="16">
        <f>E7/E5</f>
        <v>0.54</v>
      </c>
      <c r="F13" s="16">
        <f>F7/F5</f>
        <v>0.55000000000000004</v>
      </c>
      <c r="G13" s="22">
        <f>F13/E13-1</f>
        <v>1.8518518518518601E-2</v>
      </c>
      <c r="H13" s="16">
        <f>H7/H5</f>
        <v>0.33</v>
      </c>
      <c r="I13" s="16">
        <f>I7/I5</f>
        <v>0.35</v>
      </c>
      <c r="J13" s="22">
        <f>I13/H13-1</f>
        <v>6.0606060606060552E-2</v>
      </c>
      <c r="K13" s="16">
        <f>K7/K5</f>
        <v>0.47824779387100019</v>
      </c>
      <c r="L13" s="16">
        <f>L7/L5</f>
        <v>0.47474936627624775</v>
      </c>
      <c r="M13" s="22">
        <f>L13/K13-1</f>
        <v>-7.3150940570696488E-3</v>
      </c>
    </row>
    <row r="14" spans="1:16">
      <c r="A14" s="18" t="s">
        <v>16</v>
      </c>
      <c r="B14" s="16">
        <f>B8/B5</f>
        <v>0.21822025668812373</v>
      </c>
      <c r="C14" s="16">
        <f>C8/C5</f>
        <v>0.16470495225438711</v>
      </c>
      <c r="D14" s="22">
        <f>C14/B14-1</f>
        <v>-0.24523527396551315</v>
      </c>
      <c r="E14" s="16">
        <f>E8/E5</f>
        <v>0.238766057017334</v>
      </c>
      <c r="F14" s="16">
        <f>F8/F5</f>
        <v>0.26737110039250067</v>
      </c>
      <c r="G14" s="22">
        <f>F14/E14-1</f>
        <v>0.11980364266387333</v>
      </c>
      <c r="H14" s="16">
        <f>H8/H5</f>
        <v>0.11414612987546666</v>
      </c>
      <c r="I14" s="16">
        <f>I8/I5</f>
        <v>0.10276900815574858</v>
      </c>
      <c r="J14" s="22">
        <f>I14/H14-1</f>
        <v>-9.9671550249934127E-2</v>
      </c>
      <c r="K14" s="16">
        <f>K8/K5</f>
        <v>0.19995387271005427</v>
      </c>
      <c r="L14" s="16">
        <f>L8/L5</f>
        <v>0.15711395345656234</v>
      </c>
      <c r="M14" s="22">
        <f>L14/K14-1</f>
        <v>-0.21424900989846052</v>
      </c>
    </row>
    <row r="15" spans="1:16">
      <c r="A15" s="25" t="s">
        <v>17</v>
      </c>
      <c r="B15" s="26">
        <f>B9/B5</f>
        <v>0.29177974331187634</v>
      </c>
      <c r="C15" s="26">
        <f>C9/C5</f>
        <v>0.33529504774561292</v>
      </c>
      <c r="D15" s="22">
        <f>C15/B15-1</f>
        <v>0.14913751016369936</v>
      </c>
      <c r="E15" s="26">
        <f>E9/E5</f>
        <v>0.30123394298266598</v>
      </c>
      <c r="F15" s="26">
        <f>F9/F5</f>
        <v>0.28262889960749932</v>
      </c>
      <c r="G15" s="27">
        <f>F15/E15-1</f>
        <v>-6.176277211973169E-2</v>
      </c>
      <c r="H15" s="26">
        <f>H9/H5</f>
        <v>0.21585387012453333</v>
      </c>
      <c r="I15" s="26">
        <f>I9/I5</f>
        <v>0.2472309918442514</v>
      </c>
      <c r="J15" s="27">
        <f>I15/H15-1</f>
        <v>0.14536279429048715</v>
      </c>
      <c r="K15" s="26">
        <f>K9/K5</f>
        <v>0.27829392116094592</v>
      </c>
      <c r="L15" s="26">
        <f>L9/L5</f>
        <v>0.31763541281968544</v>
      </c>
      <c r="M15" s="27">
        <f>L15/K15-1</f>
        <v>0.14136669422968495</v>
      </c>
    </row>
    <row r="16" spans="1: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: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7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17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7">
      <c r="A20" s="8" t="s">
        <v>24</v>
      </c>
      <c r="B20" s="9" t="s">
        <v>0</v>
      </c>
      <c r="C20" s="9"/>
      <c r="D20" s="9"/>
      <c r="E20" s="9" t="s">
        <v>1</v>
      </c>
      <c r="F20" s="9"/>
      <c r="G20" s="9"/>
      <c r="H20" s="9" t="s">
        <v>2</v>
      </c>
      <c r="I20" s="9"/>
      <c r="J20" s="9"/>
      <c r="K20" s="9" t="s">
        <v>3</v>
      </c>
      <c r="L20" s="9"/>
      <c r="M20" s="10"/>
    </row>
    <row r="21" spans="1:17">
      <c r="A21" s="11" t="s">
        <v>18</v>
      </c>
      <c r="B21" s="12">
        <v>2023</v>
      </c>
      <c r="C21" s="12">
        <v>2024</v>
      </c>
      <c r="D21" s="12" t="s">
        <v>19</v>
      </c>
      <c r="E21" s="12">
        <v>2023</v>
      </c>
      <c r="F21" s="12">
        <v>2024</v>
      </c>
      <c r="G21" s="12" t="s">
        <v>19</v>
      </c>
      <c r="H21" s="12">
        <v>2023</v>
      </c>
      <c r="I21" s="12">
        <v>2024</v>
      </c>
      <c r="J21" s="12" t="s">
        <v>19</v>
      </c>
      <c r="K21" s="12">
        <v>2023</v>
      </c>
      <c r="L21" s="12">
        <v>2024</v>
      </c>
      <c r="M21" s="13" t="s">
        <v>19</v>
      </c>
      <c r="P21" s="6" t="s">
        <v>22</v>
      </c>
      <c r="Q21" s="7">
        <v>26743</v>
      </c>
    </row>
    <row r="22" spans="1:17">
      <c r="A22" s="11" t="s">
        <v>5</v>
      </c>
      <c r="B22" s="29">
        <f>293855.9*Exchange_rate__EUR_VND</f>
        <v>7858588333.7000008</v>
      </c>
      <c r="C22" s="29">
        <f>275112.9*Exchange_rate__EUR_VND</f>
        <v>7357344284.7000008</v>
      </c>
      <c r="D22" s="15">
        <f>C22/B22-1</f>
        <v>-6.3782963010101223E-2</v>
      </c>
      <c r="E22" s="29">
        <f>10609.2*Exchange_rate__EUR_VND</f>
        <v>283721835.60000002</v>
      </c>
      <c r="F22" s="29">
        <f>11560.1*Exchange_rate__EUR_VND</f>
        <v>309151754.30000001</v>
      </c>
      <c r="G22" s="16">
        <f>F22/E22-1</f>
        <v>8.9629755306714909E-2</v>
      </c>
      <c r="H22" s="29">
        <f>67063.2*Exchange_rate__EUR_VND</f>
        <v>1793471157.5999999</v>
      </c>
      <c r="I22" s="29">
        <f>62574.5999999999*Exchange_rate__EUR_VND</f>
        <v>1673432527.7999973</v>
      </c>
      <c r="J22" s="16">
        <f>I22/H22-1</f>
        <v>-6.6930895036325433E-2</v>
      </c>
      <c r="K22" s="29">
        <f>371528.3*Exchange_rate__EUR_VND</f>
        <v>9935781326.8999996</v>
      </c>
      <c r="L22" s="29">
        <f>349247.6*Exchange_rate__EUR_VND</f>
        <v>9339928566.7999992</v>
      </c>
      <c r="M22" s="16">
        <f>L22/K22-1</f>
        <v>-5.9970397948150955E-2</v>
      </c>
    </row>
    <row r="23" spans="1:17">
      <c r="A23" s="18" t="s">
        <v>7</v>
      </c>
      <c r="B23" s="30">
        <f>B22-B24</f>
        <v>1731063692.8000011</v>
      </c>
      <c r="C23" s="30">
        <f>C22-C24</f>
        <v>1674424693.1000004</v>
      </c>
      <c r="D23" s="15">
        <f>C23/B23-1</f>
        <v>-3.2719188748270178E-2</v>
      </c>
      <c r="E23" s="30">
        <f>E22-E24</f>
        <v>59711770.399999738</v>
      </c>
      <c r="F23" s="30">
        <f>F22-F24</f>
        <v>59096681.400000036</v>
      </c>
      <c r="G23" s="16">
        <f>F23/E23-1</f>
        <v>-1.0300967395193927E-2</v>
      </c>
      <c r="H23" s="30">
        <f>H22-H24</f>
        <v>387746757</v>
      </c>
      <c r="I23" s="30">
        <f>I22-I24</f>
        <v>372310697.39999723</v>
      </c>
      <c r="J23" s="16">
        <f>I23/H23-1</f>
        <v>-3.9809642044286053E-2</v>
      </c>
      <c r="K23" s="30">
        <f>K22-K24</f>
        <v>2178522220.1999989</v>
      </c>
      <c r="L23" s="30">
        <f>L22-L24</f>
        <v>2105832071.8999996</v>
      </c>
      <c r="M23" s="16">
        <f>L23/K23-1</f>
        <v>-3.3366723380643726E-2</v>
      </c>
    </row>
    <row r="24" spans="1:17">
      <c r="A24" s="11" t="s">
        <v>8</v>
      </c>
      <c r="B24" s="29">
        <f>229126.3*Exchange_rate__EUR_VND</f>
        <v>6127524640.8999996</v>
      </c>
      <c r="C24" s="29">
        <f>212501.2*Exchange_rate__EUR_VND</f>
        <v>5682919591.6000004</v>
      </c>
      <c r="D24" s="15">
        <f>C24/B24-1</f>
        <v>-7.25586717893143E-2</v>
      </c>
      <c r="E24" s="29">
        <f>8376.40000000001*Exchange_rate__EUR_VND</f>
        <v>224010065.20000029</v>
      </c>
      <c r="F24" s="29">
        <f>9350.3*Exchange_rate__EUR_VND</f>
        <v>250055072.89999998</v>
      </c>
      <c r="G24" s="16">
        <f>F24/E24-1</f>
        <v>0.11626713146458956</v>
      </c>
      <c r="H24" s="29">
        <f>52564.2*Exchange_rate__EUR_VND</f>
        <v>1405724400.5999999</v>
      </c>
      <c r="I24" s="29">
        <f>48652.8*Exchange_rate__EUR_VND</f>
        <v>1301121830.4000001</v>
      </c>
      <c r="J24" s="16">
        <f>I24/H24-1</f>
        <v>-7.4411862065816514E-2</v>
      </c>
      <c r="K24" s="29">
        <f>290066.9*Exchange_rate__EUR_VND</f>
        <v>7757259106.7000008</v>
      </c>
      <c r="L24" s="29">
        <f>270504.3*Exchange_rate__EUR_VND</f>
        <v>7234096494.8999996</v>
      </c>
      <c r="M24" s="16">
        <f>L24/K24-1</f>
        <v>-6.7441683280650255E-2</v>
      </c>
    </row>
    <row r="25" spans="1:17">
      <c r="A25" s="18" t="s">
        <v>9</v>
      </c>
      <c r="B25" s="30">
        <f>0.49*B24</f>
        <v>3002487074.0409999</v>
      </c>
      <c r="C25" s="30">
        <f>0.5*C24</f>
        <v>2841459795.8000002</v>
      </c>
      <c r="D25" s="15">
        <f>C25/B25-1</f>
        <v>-5.3631297744198281E-2</v>
      </c>
      <c r="E25" s="30">
        <f>0.46*E24</f>
        <v>103044629.99200013</v>
      </c>
      <c r="F25" s="30">
        <f>0.45*F24</f>
        <v>112524782.80499999</v>
      </c>
      <c r="G25" s="16">
        <f>F25/E25-1</f>
        <v>9.2000454693620171E-2</v>
      </c>
      <c r="H25" s="30">
        <f>0.67*H24</f>
        <v>941835348.40199995</v>
      </c>
      <c r="I25" s="30">
        <f>0.65*I24</f>
        <v>845729189.76000011</v>
      </c>
      <c r="J25" s="16">
        <f>I25/H25-1</f>
        <v>-0.10204135872056819</v>
      </c>
      <c r="K25" s="30">
        <f>SUM(B25,E25,H25)</f>
        <v>4047367052.4349999</v>
      </c>
      <c r="L25" s="30">
        <f>SUM(C25,F25,I25)</f>
        <v>3799713768.3650002</v>
      </c>
      <c r="M25" s="16">
        <f>L25/K25-1</f>
        <v>-6.1188738471596005E-2</v>
      </c>
    </row>
    <row r="26" spans="1:17">
      <c r="A26" s="11" t="s">
        <v>11</v>
      </c>
      <c r="B26" s="30">
        <f>B24-B25</f>
        <v>3125037566.8589997</v>
      </c>
      <c r="C26" s="30">
        <f>C24-C25</f>
        <v>2841459795.8000002</v>
      </c>
      <c r="D26" s="15">
        <f>C26/B26-1</f>
        <v>-9.0743795871876753E-2</v>
      </c>
      <c r="E26" s="30">
        <f>E24-E25</f>
        <v>120965435.20800015</v>
      </c>
      <c r="F26" s="30">
        <f>F24-F25</f>
        <v>137530290.09499997</v>
      </c>
      <c r="G26" s="16">
        <f>F26/E26-1</f>
        <v>0.13693874501022996</v>
      </c>
      <c r="H26" s="30">
        <f>H24-H25</f>
        <v>463889052.19799995</v>
      </c>
      <c r="I26" s="30">
        <f>I24-I25</f>
        <v>455392640.63999999</v>
      </c>
      <c r="J26" s="16">
        <f>I26/H26-1</f>
        <v>-1.8315611281926714E-2</v>
      </c>
      <c r="K26" s="30">
        <f>K24-K25</f>
        <v>3709892054.2650008</v>
      </c>
      <c r="L26" s="30">
        <f>L24-L25</f>
        <v>3434382726.5349994</v>
      </c>
      <c r="M26" s="16">
        <f>L26/K26-1</f>
        <v>-7.426343508115496E-2</v>
      </c>
    </row>
    <row r="27" spans="1:17">
      <c r="A27" s="18" t="s">
        <v>12</v>
      </c>
      <c r="B27" s="30">
        <f>50000*Exchange_rate__EUR_VND</f>
        <v>1337150000</v>
      </c>
      <c r="C27" s="30">
        <f>35000*Exchange_rate__EUR_VND</f>
        <v>936005000</v>
      </c>
      <c r="D27" s="15">
        <f>C27/B27-1</f>
        <v>-0.30000000000000004</v>
      </c>
      <c r="E27" s="30">
        <f>2000*Exchange_rate__EUR_VND</f>
        <v>53486000</v>
      </c>
      <c r="F27" s="30">
        <f>2500*Exchange_rate__EUR_VND</f>
        <v>66857500</v>
      </c>
      <c r="G27" s="16">
        <f>F27/E27-1</f>
        <v>0.25</v>
      </c>
      <c r="H27" s="30">
        <f>6000*Exchange_rate__EUR_VND</f>
        <v>160458000</v>
      </c>
      <c r="I27" s="30">
        <f>5000*Exchange_rate__EUR_VND</f>
        <v>133715000</v>
      </c>
      <c r="J27" s="16">
        <f>I27/H27-1</f>
        <v>-0.16666666666666663</v>
      </c>
      <c r="K27" s="30">
        <f>SUM(B27,E27,H27)</f>
        <v>1551094000</v>
      </c>
      <c r="L27" s="30">
        <f>SUM(C27,F27,I27)</f>
        <v>1136577500</v>
      </c>
      <c r="M27" s="16">
        <f>L27/K27-1</f>
        <v>-0.26724137931034486</v>
      </c>
    </row>
    <row r="28" spans="1:17">
      <c r="A28" s="11" t="s">
        <v>14</v>
      </c>
      <c r="B28" s="30">
        <f>B26-B27</f>
        <v>1787887566.8589997</v>
      </c>
      <c r="C28" s="30">
        <f>C26-C27</f>
        <v>1905454795.8000002</v>
      </c>
      <c r="D28" s="15">
        <f>C28/B28-1</f>
        <v>6.5757618722940725E-2</v>
      </c>
      <c r="E28" s="30">
        <f>E26-E27</f>
        <v>67479435.208000153</v>
      </c>
      <c r="F28" s="30">
        <f>F26-F27</f>
        <v>70672790.094999969</v>
      </c>
      <c r="G28" s="16">
        <f>F28/E28-1</f>
        <v>4.7323378999194921E-2</v>
      </c>
      <c r="H28" s="30">
        <f>H26-H27</f>
        <v>303431052.19799995</v>
      </c>
      <c r="I28" s="30">
        <f>I26-I27</f>
        <v>321677640.63999999</v>
      </c>
      <c r="J28" s="16">
        <f>I28/H28-1</f>
        <v>6.0134216026425102E-2</v>
      </c>
      <c r="K28" s="30">
        <f>K26-K27</f>
        <v>2158798054.2650008</v>
      </c>
      <c r="L28" s="30">
        <f>L26-L27</f>
        <v>2297805226.5349994</v>
      </c>
      <c r="M28" s="16">
        <f>L28/K28-1</f>
        <v>6.4391003130362723E-2</v>
      </c>
    </row>
    <row r="29" spans="1:17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7">
      <c r="A30" s="18" t="s">
        <v>20</v>
      </c>
      <c r="B30" s="16">
        <f>B24/$K$24</f>
        <v>0.78990846594354602</v>
      </c>
      <c r="C30" s="16">
        <f>C24/$K$24</f>
        <v>0.73259375681954741</v>
      </c>
      <c r="D30" s="22">
        <f>C30/B30-1</f>
        <v>-7.2558671789314411E-2</v>
      </c>
      <c r="E30" s="16">
        <f>E24/$K$24</f>
        <v>2.8877476196008611E-2</v>
      </c>
      <c r="F30" s="16">
        <f>F24/$K$24</f>
        <v>3.2234977517255493E-2</v>
      </c>
      <c r="G30" s="22">
        <f>F30/E30-1</f>
        <v>0.11626713146458934</v>
      </c>
      <c r="H30" s="16">
        <f>H24/$K$24</f>
        <v>0.18121405786044525</v>
      </c>
      <c r="I30" s="16">
        <f>I24/$K$24</f>
        <v>0.16772958238254693</v>
      </c>
      <c r="J30" s="22">
        <f>I30/H30-1</f>
        <v>-7.4411862065816403E-2</v>
      </c>
      <c r="K30" s="23"/>
      <c r="L30" s="23"/>
      <c r="M30" s="22"/>
    </row>
    <row r="31" spans="1:17">
      <c r="A31" s="18" t="s">
        <v>15</v>
      </c>
      <c r="B31" s="16">
        <f>B23/B24</f>
        <v>0.28250619854639142</v>
      </c>
      <c r="C31" s="16">
        <f>C23/C24</f>
        <v>0.29464163025902917</v>
      </c>
      <c r="D31" s="22">
        <f>C31/B31-1</f>
        <v>4.2956337861184801E-2</v>
      </c>
      <c r="E31" s="16">
        <f>E23/E24</f>
        <v>0.26655842605415064</v>
      </c>
      <c r="F31" s="16">
        <f>F23/F24</f>
        <v>0.23633466305893946</v>
      </c>
      <c r="G31" s="22">
        <f>F31/E31-1</f>
        <v>-0.11338513451858134</v>
      </c>
      <c r="H31" s="24">
        <f>H23/H24</f>
        <v>0.275834122844065</v>
      </c>
      <c r="I31" s="16">
        <f>I23/I24</f>
        <v>0.28614591554853769</v>
      </c>
      <c r="J31" s="22">
        <f>I31/H31-1</f>
        <v>3.738403573187421E-2</v>
      </c>
      <c r="K31" s="16">
        <f>K23/K24</f>
        <v>0.28083659321349641</v>
      </c>
      <c r="L31" s="16">
        <f>L23/L24</f>
        <v>0.29109814520508542</v>
      </c>
      <c r="M31" s="22">
        <f>L31/K31-1</f>
        <v>3.6539226865595964E-2</v>
      </c>
    </row>
    <row r="32" spans="1:17">
      <c r="A32" s="18" t="s">
        <v>21</v>
      </c>
      <c r="B32" s="16">
        <f>B26/B24</f>
        <v>0.51</v>
      </c>
      <c r="C32" s="16">
        <f>C26/C24</f>
        <v>0.5</v>
      </c>
      <c r="D32" s="22">
        <f>C32/B32-1</f>
        <v>-1.9607843137254943E-2</v>
      </c>
      <c r="E32" s="16">
        <f>E26/E24</f>
        <v>0.54</v>
      </c>
      <c r="F32" s="16">
        <f>F26/F24</f>
        <v>0.54999999999999993</v>
      </c>
      <c r="G32" s="22">
        <f>F32/E32-1</f>
        <v>1.8518518518518379E-2</v>
      </c>
      <c r="H32" s="16">
        <f>H26/H24</f>
        <v>0.33</v>
      </c>
      <c r="I32" s="16">
        <f>I26/I24</f>
        <v>0.35</v>
      </c>
      <c r="J32" s="22">
        <f>I32/H32-1</f>
        <v>6.0606060606060552E-2</v>
      </c>
      <c r="K32" s="16">
        <f>K26/K24</f>
        <v>0.47824779387100014</v>
      </c>
      <c r="L32" s="16">
        <f>L26/L24</f>
        <v>0.4747493662762477</v>
      </c>
      <c r="M32" s="22">
        <f>L32/K32-1</f>
        <v>-7.3150940570696488E-3</v>
      </c>
    </row>
    <row r="33" spans="1:13">
      <c r="A33" s="18" t="s">
        <v>16</v>
      </c>
      <c r="B33" s="16">
        <f>B27/B24</f>
        <v>0.21822025668812356</v>
      </c>
      <c r="C33" s="16">
        <f>C27/C24</f>
        <v>0.16470495225438725</v>
      </c>
      <c r="D33" s="22">
        <f>C33/B33-1</f>
        <v>-0.24523527396551192</v>
      </c>
      <c r="E33" s="16">
        <f>E27/E24</f>
        <v>0.23876605701733411</v>
      </c>
      <c r="F33" s="16">
        <f>F27/F24</f>
        <v>0.26737110039250078</v>
      </c>
      <c r="G33" s="22">
        <f>F33/E33-1</f>
        <v>0.11980364266387311</v>
      </c>
      <c r="H33" s="16">
        <f>H27/H24</f>
        <v>0.11414612987546657</v>
      </c>
      <c r="I33" s="16">
        <f>I27/I24</f>
        <v>0.10276900815574848</v>
      </c>
      <c r="J33" s="22">
        <f>I33/H33-1</f>
        <v>-9.9671550249934349E-2</v>
      </c>
      <c r="K33" s="16">
        <f>K27/K24</f>
        <v>0.1999538727100541</v>
      </c>
      <c r="L33" s="16">
        <f>L27/L24</f>
        <v>0.15711395345656243</v>
      </c>
      <c r="M33" s="22">
        <f>L33/K33-1</f>
        <v>-0.21424900989845941</v>
      </c>
    </row>
    <row r="34" spans="1:13">
      <c r="A34" s="25" t="s">
        <v>17</v>
      </c>
      <c r="B34" s="26">
        <f>B28/B24</f>
        <v>0.29177974331187645</v>
      </c>
      <c r="C34" s="26">
        <f>C28/C24</f>
        <v>0.33529504774561275</v>
      </c>
      <c r="D34" s="22">
        <f>C34/B34-1</f>
        <v>0.14913751016369847</v>
      </c>
      <c r="E34" s="26">
        <f>E28/E24</f>
        <v>0.30123394298266587</v>
      </c>
      <c r="F34" s="26">
        <f>F28/F24</f>
        <v>0.28262889960749915</v>
      </c>
      <c r="G34" s="27">
        <f>F34/E34-1</f>
        <v>-6.1762772119731912E-2</v>
      </c>
      <c r="H34" s="26">
        <f>H28/H24</f>
        <v>0.21585387012453341</v>
      </c>
      <c r="I34" s="26">
        <f>I28/I24</f>
        <v>0.24723099184425149</v>
      </c>
      <c r="J34" s="27">
        <f>I34/H34-1</f>
        <v>0.14536279429048715</v>
      </c>
      <c r="K34" s="26">
        <f>K28/K24</f>
        <v>0.27829392116094603</v>
      </c>
      <c r="L34" s="26">
        <f>L28/L24</f>
        <v>0.31763541281968521</v>
      </c>
      <c r="M34" s="27">
        <f>L34/K34-1</f>
        <v>0.14136669422968384</v>
      </c>
    </row>
  </sheetData>
  <mergeCells count="8">
    <mergeCell ref="B1:D1"/>
    <mergeCell ref="E1:G1"/>
    <mergeCell ref="H1:J1"/>
    <mergeCell ref="K1:M1"/>
    <mergeCell ref="B20:D20"/>
    <mergeCell ref="E20:G20"/>
    <mergeCell ref="H20:J20"/>
    <mergeCell ref="K20:M20"/>
  </mergeCells>
  <conditionalFormatting sqref="A1:M15">
    <cfRule type="cellIs" dxfId="9" priority="10" operator="lessThan">
      <formula>0</formula>
    </cfRule>
  </conditionalFormatting>
  <conditionalFormatting sqref="D3:D15">
    <cfRule type="cellIs" dxfId="8" priority="9" operator="greaterThan">
      <formula>0</formula>
    </cfRule>
  </conditionalFormatting>
  <conditionalFormatting sqref="G3:G15">
    <cfRule type="cellIs" dxfId="7" priority="8" operator="greaterThan">
      <formula>0</formula>
    </cfRule>
  </conditionalFormatting>
  <conditionalFormatting sqref="J3:J15">
    <cfRule type="cellIs" dxfId="6" priority="7" operator="greaterThan">
      <formula>0</formula>
    </cfRule>
  </conditionalFormatting>
  <conditionalFormatting sqref="M3:M15">
    <cfRule type="cellIs" dxfId="5" priority="6" operator="greaterThan">
      <formula>0</formula>
    </cfRule>
  </conditionalFormatting>
  <conditionalFormatting sqref="A20:M34">
    <cfRule type="cellIs" dxfId="4" priority="5" operator="lessThan">
      <formula>0</formula>
    </cfRule>
  </conditionalFormatting>
  <conditionalFormatting sqref="D22:D34">
    <cfRule type="cellIs" dxfId="3" priority="4" operator="greaterThan">
      <formula>0</formula>
    </cfRule>
  </conditionalFormatting>
  <conditionalFormatting sqref="G22:G34">
    <cfRule type="cellIs" dxfId="2" priority="3" operator="greaterThan">
      <formula>0</formula>
    </cfRule>
  </conditionalFormatting>
  <conditionalFormatting sqref="J22:J34">
    <cfRule type="cellIs" dxfId="1" priority="2" operator="greaterThan">
      <formula>0</formula>
    </cfRule>
  </conditionalFormatting>
  <conditionalFormatting sqref="M22:M34">
    <cfRule type="cellIs" dxfId="0" priority="1" operator="greaterThan">
      <formula>0</formula>
    </cfRule>
  </conditionalFormatting>
  <pageMargins left="0.7" right="0.7" top="0.75" bottom="0.75" header="0.3" footer="0.3"/>
  <ignoredErrors>
    <ignoredError sqref="D4" formula="1"/>
  </ignoredError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PnL table</vt:lpstr>
      <vt:lpstr>Exchange_rate__EUR_VND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An, Tran-Thanh</dc:creator>
  <cp:lastModifiedBy>Trần Tuấn</cp:lastModifiedBy>
  <dcterms:created xsi:type="dcterms:W3CDTF">2015-06-05T18:17:20Z</dcterms:created>
  <dcterms:modified xsi:type="dcterms:W3CDTF">2026-05-21T06:04:46Z</dcterms:modified>
</cp:coreProperties>
</file>